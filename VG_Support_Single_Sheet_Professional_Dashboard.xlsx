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vihanthakur/Downloads/"/>
    </mc:Choice>
  </mc:AlternateContent>
  <xr:revisionPtr revIDLastSave="0" documentId="13_ncr:1_{70411E5E-B6D8-A24D-B03C-A56DCB4DC4B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shboard" sheetId="1" r:id="rId1"/>
    <sheet name="Data" sheetId="2" r:id="rId2"/>
  </sheets>
  <definedNames>
    <definedName name="_xlnm.Print_Area" localSheetId="0">Dashboard!$A$1:$O$105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5" i="1" l="1"/>
  <c r="I105" i="1"/>
  <c r="H105" i="1"/>
  <c r="G105" i="1"/>
  <c r="F105" i="1"/>
  <c r="E105" i="1"/>
  <c r="D105" i="1"/>
  <c r="C105" i="1"/>
  <c r="B105" i="1"/>
  <c r="A105" i="1"/>
  <c r="J104" i="1"/>
  <c r="I104" i="1"/>
  <c r="H104" i="1"/>
  <c r="G104" i="1"/>
  <c r="F104" i="1"/>
  <c r="E104" i="1"/>
  <c r="D104" i="1"/>
  <c r="C104" i="1"/>
  <c r="B104" i="1"/>
  <c r="A104" i="1"/>
  <c r="J103" i="1"/>
  <c r="I103" i="1"/>
  <c r="H103" i="1"/>
  <c r="G103" i="1"/>
  <c r="F103" i="1"/>
  <c r="E103" i="1"/>
  <c r="D103" i="1"/>
  <c r="C103" i="1"/>
  <c r="B103" i="1"/>
  <c r="A103" i="1"/>
  <c r="J102" i="1"/>
  <c r="I102" i="1"/>
  <c r="H102" i="1"/>
  <c r="G102" i="1"/>
  <c r="F102" i="1"/>
  <c r="E102" i="1"/>
  <c r="D102" i="1"/>
  <c r="C102" i="1"/>
  <c r="B102" i="1"/>
  <c r="A102" i="1"/>
  <c r="J101" i="1"/>
  <c r="I101" i="1"/>
  <c r="H101" i="1"/>
  <c r="G101" i="1"/>
  <c r="F101" i="1"/>
  <c r="E101" i="1"/>
  <c r="D101" i="1"/>
  <c r="C101" i="1"/>
  <c r="B101" i="1"/>
  <c r="A101" i="1"/>
  <c r="J100" i="1"/>
  <c r="I100" i="1"/>
  <c r="H100" i="1"/>
  <c r="G100" i="1"/>
  <c r="F100" i="1"/>
  <c r="E100" i="1"/>
  <c r="D100" i="1"/>
  <c r="C100" i="1"/>
  <c r="B100" i="1"/>
  <c r="A100" i="1"/>
  <c r="J99" i="1"/>
  <c r="I99" i="1"/>
  <c r="H99" i="1"/>
  <c r="G99" i="1"/>
  <c r="F99" i="1"/>
  <c r="E99" i="1"/>
  <c r="D99" i="1"/>
  <c r="C99" i="1"/>
  <c r="B99" i="1"/>
  <c r="A99" i="1"/>
  <c r="J98" i="1"/>
  <c r="I98" i="1"/>
  <c r="H98" i="1"/>
  <c r="G98" i="1"/>
  <c r="F98" i="1"/>
  <c r="E98" i="1"/>
  <c r="D98" i="1"/>
  <c r="C98" i="1"/>
  <c r="B98" i="1"/>
  <c r="A98" i="1"/>
  <c r="J97" i="1"/>
  <c r="I97" i="1"/>
  <c r="H97" i="1"/>
  <c r="G97" i="1"/>
  <c r="F97" i="1"/>
  <c r="E97" i="1"/>
  <c r="D97" i="1"/>
  <c r="C97" i="1"/>
  <c r="B97" i="1"/>
  <c r="A97" i="1"/>
  <c r="J96" i="1"/>
  <c r="I96" i="1"/>
  <c r="H96" i="1"/>
  <c r="G96" i="1"/>
  <c r="F96" i="1"/>
  <c r="E96" i="1"/>
  <c r="D96" i="1"/>
  <c r="C96" i="1"/>
  <c r="B96" i="1"/>
  <c r="A96" i="1"/>
  <c r="A90" i="1"/>
  <c r="A89" i="1"/>
  <c r="A88" i="1"/>
  <c r="A87" i="1"/>
  <c r="A86" i="1"/>
  <c r="A85" i="1"/>
  <c r="A84" i="1"/>
  <c r="A83" i="1"/>
  <c r="A82" i="1"/>
  <c r="A81" i="1"/>
  <c r="A80" i="1"/>
  <c r="A79" i="1"/>
  <c r="AE13" i="1"/>
  <c r="E90" i="1" s="1"/>
  <c r="AD13" i="1"/>
  <c r="D90" i="1" s="1"/>
  <c r="AC13" i="1"/>
  <c r="C90" i="1" s="1"/>
  <c r="AB13" i="1"/>
  <c r="B90" i="1" s="1"/>
  <c r="AE12" i="1"/>
  <c r="E89" i="1" s="1"/>
  <c r="AD12" i="1"/>
  <c r="D89" i="1" s="1"/>
  <c r="AC12" i="1"/>
  <c r="C89" i="1" s="1"/>
  <c r="AB12" i="1"/>
  <c r="B89" i="1" s="1"/>
  <c r="AE11" i="1"/>
  <c r="E88" i="1" s="1"/>
  <c r="AD11" i="1"/>
  <c r="D88" i="1" s="1"/>
  <c r="AC11" i="1"/>
  <c r="C88" i="1" s="1"/>
  <c r="AB11" i="1"/>
  <c r="B88" i="1" s="1"/>
  <c r="AE10" i="1"/>
  <c r="E87" i="1" s="1"/>
  <c r="AD10" i="1"/>
  <c r="D87" i="1" s="1"/>
  <c r="AC10" i="1"/>
  <c r="C87" i="1" s="1"/>
  <c r="AB10" i="1"/>
  <c r="B87" i="1" s="1"/>
  <c r="AE9" i="1"/>
  <c r="E86" i="1" s="1"/>
  <c r="AD9" i="1"/>
  <c r="D86" i="1" s="1"/>
  <c r="AC9" i="1"/>
  <c r="C86" i="1" s="1"/>
  <c r="AB9" i="1"/>
  <c r="B86" i="1" s="1"/>
  <c r="AE8" i="1"/>
  <c r="E85" i="1" s="1"/>
  <c r="AD8" i="1"/>
  <c r="D85" i="1" s="1"/>
  <c r="AC8" i="1"/>
  <c r="C85" i="1" s="1"/>
  <c r="AB8" i="1"/>
  <c r="B85" i="1" s="1"/>
  <c r="AE7" i="1"/>
  <c r="E84" i="1" s="1"/>
  <c r="AD7" i="1"/>
  <c r="D84" i="1" s="1"/>
  <c r="AC7" i="1"/>
  <c r="C84" i="1" s="1"/>
  <c r="AB7" i="1"/>
  <c r="B84" i="1" s="1"/>
  <c r="M7" i="1"/>
  <c r="J7" i="1"/>
  <c r="G7" i="1"/>
  <c r="D7" i="1"/>
  <c r="A7" i="1"/>
  <c r="AE6" i="1"/>
  <c r="E83" i="1" s="1"/>
  <c r="AD6" i="1"/>
  <c r="D83" i="1" s="1"/>
  <c r="AC6" i="1"/>
  <c r="C83" i="1" s="1"/>
  <c r="AB6" i="1"/>
  <c r="B83" i="1" s="1"/>
  <c r="Y6" i="1"/>
  <c r="AE5" i="1"/>
  <c r="E82" i="1" s="1"/>
  <c r="AD5" i="1"/>
  <c r="D82" i="1" s="1"/>
  <c r="AC5" i="1"/>
  <c r="C82" i="1" s="1"/>
  <c r="AB5" i="1"/>
  <c r="B82" i="1" s="1"/>
  <c r="Y5" i="1"/>
  <c r="AE4" i="1"/>
  <c r="E81" i="1" s="1"/>
  <c r="AD4" i="1"/>
  <c r="D81" i="1" s="1"/>
  <c r="AC4" i="1"/>
  <c r="C81" i="1" s="1"/>
  <c r="AB4" i="1"/>
  <c r="B81" i="1" s="1"/>
  <c r="Y4" i="1"/>
  <c r="V4" i="1"/>
  <c r="S4" i="1"/>
  <c r="AE3" i="1"/>
  <c r="E80" i="1" s="1"/>
  <c r="AD3" i="1"/>
  <c r="D80" i="1" s="1"/>
  <c r="AC3" i="1"/>
  <c r="C80" i="1" s="1"/>
  <c r="AB3" i="1"/>
  <c r="B80" i="1" s="1"/>
  <c r="Y3" i="1"/>
  <c r="V3" i="1"/>
  <c r="S3" i="1"/>
  <c r="AE2" i="1"/>
  <c r="E79" i="1" s="1"/>
  <c r="AD2" i="1"/>
  <c r="D79" i="1" s="1"/>
  <c r="AC2" i="1"/>
  <c r="C79" i="1" s="1"/>
  <c r="AB2" i="1"/>
  <c r="B79" i="1" s="1"/>
  <c r="Y2" i="1"/>
  <c r="V2" i="1"/>
  <c r="S2" i="1"/>
</calcChain>
</file>

<file path=xl/sharedStrings.xml><?xml version="1.0" encoding="utf-8"?>
<sst xmlns="http://schemas.openxmlformats.org/spreadsheetml/2006/main" count="484" uniqueCount="116">
  <si>
    <t>VG SUPPORT | TEAM KPI DASHBOARD</t>
  </si>
  <si>
    <t>Priority</t>
  </si>
  <si>
    <t>Ticket Count</t>
  </si>
  <si>
    <t>Status</t>
  </si>
  <si>
    <t>Handler</t>
  </si>
  <si>
    <t>Month</t>
  </si>
  <si>
    <t>All Tickets</t>
  </si>
  <si>
    <t>P1 Tickets</t>
  </si>
  <si>
    <t>SLA Breaches</t>
  </si>
  <si>
    <t>SLA Compliance</t>
  </si>
  <si>
    <t>P1</t>
  </si>
  <si>
    <t>Closed</t>
  </si>
  <si>
    <t>A. Sharma</t>
  </si>
  <si>
    <t>Executive summary • Priority workload • SLA performance • Monthly trends</t>
  </si>
  <si>
    <t>P2</t>
  </si>
  <si>
    <t>In Progress</t>
  </si>
  <si>
    <t>R. Patel</t>
  </si>
  <si>
    <t>Start date</t>
  </si>
  <si>
    <t>End date</t>
  </si>
  <si>
    <t>Change the yellow date cells to filter KPI cards and graphs.</t>
  </si>
  <si>
    <t>P3</t>
  </si>
  <si>
    <t>Open</t>
  </si>
  <si>
    <t>S. Kumar</t>
  </si>
  <si>
    <t>M. Singh</t>
  </si>
  <si>
    <t>TOTAL TICKETS</t>
  </si>
  <si>
    <t>P1 TICKETS</t>
  </si>
  <si>
    <t>SLA BREACHES</t>
  </si>
  <si>
    <t>SLA COMPLIANCE</t>
  </si>
  <si>
    <t>OPEN / IN PROGRESS</t>
  </si>
  <si>
    <t>P. Joshi</t>
  </si>
  <si>
    <t>SECTION 1 | PRIORITY &amp; STATUS OVERVIEW</t>
  </si>
  <si>
    <t>SECTION 2 | TEAM WORKLOAD</t>
  </si>
  <si>
    <t>SECTION 3 | MONTHLY TRENDS</t>
  </si>
  <si>
    <t>SECTION 4 | SLA TRENDS</t>
  </si>
  <si>
    <t>SECTION 5 | MONTHLY METRICS TABLE</t>
  </si>
  <si>
    <t>Ticket ID</t>
  </si>
  <si>
    <t>Created Date</t>
  </si>
  <si>
    <t>Category</t>
  </si>
  <si>
    <t>Assigned To</t>
  </si>
  <si>
    <t>SLA Target (hrs)</t>
  </si>
  <si>
    <t>Resolution Time (hrs)</t>
  </si>
  <si>
    <t>SLA Met</t>
  </si>
  <si>
    <t>Channel</t>
  </si>
  <si>
    <t>Closed Date</t>
  </si>
  <si>
    <t>VG-1001</t>
  </si>
  <si>
    <t>Application Error</t>
  </si>
  <si>
    <t>No</t>
  </si>
  <si>
    <t>Phone</t>
  </si>
  <si>
    <t>VG-1002</t>
  </si>
  <si>
    <t>Performance</t>
  </si>
  <si>
    <t>VG-1003</t>
  </si>
  <si>
    <t>Access</t>
  </si>
  <si>
    <t>Pending</t>
  </si>
  <si>
    <t>Email</t>
  </si>
  <si>
    <t>VG-1004</t>
  </si>
  <si>
    <t>VG-1005</t>
  </si>
  <si>
    <t>Yes</t>
  </si>
  <si>
    <t>VG-1006</t>
  </si>
  <si>
    <t>Service Request</t>
  </si>
  <si>
    <t>VG-1007</t>
  </si>
  <si>
    <t>VG-1008</t>
  </si>
  <si>
    <t>VG-1009</t>
  </si>
  <si>
    <t>Portal</t>
  </si>
  <si>
    <t>VG-1010</t>
  </si>
  <si>
    <t>VG-1011</t>
  </si>
  <si>
    <t>Data Issue</t>
  </si>
  <si>
    <t>VG-1012</t>
  </si>
  <si>
    <t>VG-1013</t>
  </si>
  <si>
    <t>VG-1014</t>
  </si>
  <si>
    <t>VG-1015</t>
  </si>
  <si>
    <t>VG-1016</t>
  </si>
  <si>
    <t>VG-1017</t>
  </si>
  <si>
    <t>VG-1018</t>
  </si>
  <si>
    <t>VG-1019</t>
  </si>
  <si>
    <t>VG-1020</t>
  </si>
  <si>
    <t>VG-1021</t>
  </si>
  <si>
    <t>VG-1022</t>
  </si>
  <si>
    <t>VG-1023</t>
  </si>
  <si>
    <t>VG-1024</t>
  </si>
  <si>
    <t>VG-1025</t>
  </si>
  <si>
    <t>VG-1026</t>
  </si>
  <si>
    <t>VG-1027</t>
  </si>
  <si>
    <t>VG-1028</t>
  </si>
  <si>
    <t>VG-1029</t>
  </si>
  <si>
    <t>VG-1030</t>
  </si>
  <si>
    <t>VG-1031</t>
  </si>
  <si>
    <t>VG-1032</t>
  </si>
  <si>
    <t>VG-1033</t>
  </si>
  <si>
    <t>VG-1034</t>
  </si>
  <si>
    <t>VG-1035</t>
  </si>
  <si>
    <t>VG-1036</t>
  </si>
  <si>
    <t>VG-1037</t>
  </si>
  <si>
    <t>VG-1038</t>
  </si>
  <si>
    <t>VG-1039</t>
  </si>
  <si>
    <t>VG-1040</t>
  </si>
  <si>
    <t>VG-1041</t>
  </si>
  <si>
    <t>VG-1042</t>
  </si>
  <si>
    <t>VG-1043</t>
  </si>
  <si>
    <t>VG-1044</t>
  </si>
  <si>
    <t>VG-1045</t>
  </si>
  <si>
    <t>VG-1046</t>
  </si>
  <si>
    <t>VG-1047</t>
  </si>
  <si>
    <t>VG-1048</t>
  </si>
  <si>
    <t>VG-1049</t>
  </si>
  <si>
    <t>VG-1050</t>
  </si>
  <si>
    <t>VG-1051</t>
  </si>
  <si>
    <t>VG-1052</t>
  </si>
  <si>
    <t>VG-1053</t>
  </si>
  <si>
    <t>VG-1054</t>
  </si>
  <si>
    <t>VG-1055</t>
  </si>
  <si>
    <t>VG-1056</t>
  </si>
  <si>
    <t>VG-1057</t>
  </si>
  <si>
    <t>VG-1058</t>
  </si>
  <si>
    <t>VG-1059</t>
  </si>
  <si>
    <t>VG-1060</t>
  </si>
  <si>
    <t>SECTION 6 | THIS MONTHS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</si>
</sst>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"/>
    <numFmt numFmtId="165" formatCode="dd\-mmm\-yyyy"/>
    <numFmt numFmtId="166" formatCode="0.0%"/>
    <numFmt numFmtId="168" formatCode="mmm\ 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Aptos"/>
    </font>
    <font>
      <b/>
      <sz val="11"/>
      <color rgb="FF17365D"/>
      <name val="Calibri"/>
    </font>
    <font>
      <b/>
      <sz val="9"/>
      <color rgb="FFFFFFFF"/>
      <name val="Calibri"/>
    </font>
    <font>
      <b/>
      <sz val="20"/>
      <color rgb="FF17365D"/>
      <name val="Calibri"/>
    </font>
    <font>
      <i/>
      <sz val="11"/>
      <color rgb="FF64748B"/>
      <name val="Calibri"/>
    </font>
    <font>
      <b/>
      <sz val="11"/>
      <color rgb="FFFFFFFF"/>
      <name val="Calibri"/>
    </font>
    <font>
      <i/>
      <sz val="10"/>
      <color rgb="FF64748B"/>
      <name val="Calibri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4F7FB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1" fillId="3" borderId="0" xfId="0" applyFont="1" applyFill="1"/>
    <xf numFmtId="165" fontId="3" fillId="4" borderId="0" xfId="0" applyNumberFormat="1" applyFont="1" applyFill="1"/>
    <xf numFmtId="0" fontId="1" fillId="5" borderId="0" xfId="0" applyFont="1" applyFill="1" applyAlignment="1">
      <alignment horizontal="center" wrapText="1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1" fillId="5" borderId="0" xfId="0" applyFont="1" applyFill="1" applyAlignment="1">
      <alignment horizontal="center"/>
    </xf>
    <xf numFmtId="168" fontId="0" fillId="7" borderId="0" xfId="0" applyNumberFormat="1" applyFill="1"/>
    <xf numFmtId="0" fontId="0" fillId="7" borderId="0" xfId="0" applyFill="1"/>
    <xf numFmtId="166" fontId="0" fillId="7" borderId="0" xfId="0" applyNumberFormat="1" applyFill="1"/>
    <xf numFmtId="168" fontId="0" fillId="0" borderId="0" xfId="0" applyNumberFormat="1"/>
    <xf numFmtId="166" fontId="0" fillId="0" borderId="0" xfId="0" applyNumberFormat="1"/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1" fontId="5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7" fillId="3" borderId="0" xfId="0" applyFont="1" applyFill="1"/>
    <xf numFmtId="0" fontId="0" fillId="3" borderId="0" xfId="0" applyFill="1"/>
    <xf numFmtId="0" fontId="8" fillId="0" borderId="0" xfId="0" applyFont="1"/>
    <xf numFmtId="0" fontId="0" fillId="0" borderId="0" xfId="0"/>
    <xf numFmtId="0" fontId="6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  <xf numFmtId="166" fontId="5" fillId="6" borderId="1" xfId="0" applyNumberFormat="1" applyFont="1" applyFill="1" applyBorder="1" applyAlignment="1">
      <alignment horizontal="center" vertical="center"/>
    </xf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Ticket Count by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Dashboard!$S$1</c:f>
              <c:strCache>
                <c:ptCount val="1"/>
                <c:pt idx="0">
                  <c:v>Ticket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Dashboard!$R$2:$R$4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Dashboard!$S$2:$S$4</c:f>
              <c:numCache>
                <c:formatCode>General</c:formatCode>
                <c:ptCount val="3"/>
                <c:pt idx="0">
                  <c:v>17</c:v>
                </c:pt>
                <c:pt idx="1">
                  <c:v>14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9-3E45-9E57-F6D7266D9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Tickets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Priority /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Ticket Status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Dashboard!$V$1</c:f>
              <c:strCache>
                <c:ptCount val="1"/>
                <c:pt idx="0">
                  <c:v>Ticket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Dashboard!$U$2:$U$4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Dashboard!$V$2:$V$4</c:f>
              <c:numCache>
                <c:formatCode>General</c:formatCode>
                <c:ptCount val="3"/>
                <c:pt idx="0">
                  <c:v>29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A-004A-8445-2E4BCC5179C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Ticket Count by Handler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Dashboard!$Y$1</c:f>
              <c:strCache>
                <c:ptCount val="1"/>
                <c:pt idx="0">
                  <c:v>Ticket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Dashboard!$X$2:$X$6</c:f>
              <c:strCache>
                <c:ptCount val="5"/>
                <c:pt idx="0">
                  <c:v>A. Sharma</c:v>
                </c:pt>
                <c:pt idx="1">
                  <c:v>R. Patel</c:v>
                </c:pt>
                <c:pt idx="2">
                  <c:v>S. Kumar</c:v>
                </c:pt>
                <c:pt idx="3">
                  <c:v>M. Singh</c:v>
                </c:pt>
                <c:pt idx="4">
                  <c:v>P. Joshi</c:v>
                </c:pt>
              </c:strCache>
            </c:strRef>
          </c:cat>
          <c:val>
            <c:numRef>
              <c:f>Dashboard!$Y$2:$Y$6</c:f>
              <c:numCache>
                <c:formatCode>General</c:formatCode>
                <c:ptCount val="5"/>
                <c:pt idx="0">
                  <c:v>11</c:v>
                </c:pt>
                <c:pt idx="1">
                  <c:v>4</c:v>
                </c:pt>
                <c:pt idx="2">
                  <c:v>12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0-604B-8D6F-66214B645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Tickets</a:t>
                </a:r>
              </a:p>
            </c:rich>
          </c:tx>
          <c:layout>
            <c:manualLayout>
              <c:xMode val="edge"/>
              <c:yMode val="edge"/>
              <c:x val="0.9107142857142857"/>
              <c:y val="0.3363274336283185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Handler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Ticket Volume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Dashboard!$AB$1</c:f>
              <c:strCache>
                <c:ptCount val="1"/>
                <c:pt idx="0">
                  <c:v>All Tickets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Dashboard!$AA$2:$AA$13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Dashboard!$AB$2:$AB$13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06-B048-8251-4AD84D53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Tickets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P1 Ticket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Dashboard!$AC$1</c:f>
              <c:strCache>
                <c:ptCount val="1"/>
                <c:pt idx="0">
                  <c:v>P1 Tickets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Dashboard!$AA$2:$AA$13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Dashboard!$AC$2:$AC$13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1D-5E46-BB3E-72B1BD3BE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P1 Tickets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SLA Breaches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Dashboard!$AD$1</c:f>
              <c:strCache>
                <c:ptCount val="1"/>
                <c:pt idx="0">
                  <c:v>SLA Breaches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Dashboard!$AA$2:$AA$13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Dashboard!$AD$2:$AD$13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8-CF4E-BF7B-2436DB32B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SLA Breaches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SLA Compliance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Dashboard!$AE$1</c:f>
              <c:strCache>
                <c:ptCount val="1"/>
                <c:pt idx="0">
                  <c:v>SLA Compliance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Dashboard!$AA$2:$AA$13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Dashboard!$AE$2:$AE$13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0.5714285714285714</c:v>
                </c:pt>
                <c:pt idx="6">
                  <c:v>0.5</c:v>
                </c:pt>
                <c:pt idx="7">
                  <c:v>0.6</c:v>
                </c:pt>
                <c:pt idx="8">
                  <c:v>0.5</c:v>
                </c:pt>
                <c:pt idx="9">
                  <c:v>0.75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99-134F-9A08-8202CDA24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SLA Compliance (%)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53100" cy="2844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63500</xdr:colOff>
      <xdr:row>11</xdr:row>
      <xdr:rowOff>12700</xdr:rowOff>
    </xdr:from>
    <xdr:ext cx="5664200" cy="2832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727700" cy="28321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5702300" cy="30099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774700</xdr:colOff>
      <xdr:row>43</xdr:row>
      <xdr:rowOff>12700</xdr:rowOff>
    </xdr:from>
    <xdr:ext cx="5803900" cy="2997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664200" cy="2997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762000</xdr:colOff>
      <xdr:row>60</xdr:row>
      <xdr:rowOff>38100</xdr:rowOff>
    </xdr:from>
    <xdr:ext cx="5829300" cy="29845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Data" displayName="TicketData" ref="A1:K61">
  <autoFilter ref="A1:K61" xr:uid="{00000000-0009-0000-0100-000001000000}"/>
  <tableColumns count="11">
    <tableColumn id="1" xr3:uid="{00000000-0010-0000-0000-000001000000}" name="Ticket ID"/>
    <tableColumn id="2" xr3:uid="{00000000-0010-0000-0000-000002000000}" name="Created Date"/>
    <tableColumn id="3" xr3:uid="{00000000-0010-0000-0000-000003000000}" name="Closed Date"/>
    <tableColumn id="4" xr3:uid="{00000000-0010-0000-0000-000004000000}" name="Priority"/>
    <tableColumn id="5" xr3:uid="{00000000-0010-0000-0000-000005000000}" name="Status"/>
    <tableColumn id="6" xr3:uid="{00000000-0010-0000-0000-000006000000}" name="Category"/>
    <tableColumn id="7" xr3:uid="{00000000-0010-0000-0000-000007000000}" name="Assigned To"/>
    <tableColumn id="8" xr3:uid="{00000000-0010-0000-0000-000008000000}" name="SLA Target (hrs)"/>
    <tableColumn id="9" xr3:uid="{00000000-0010-0000-0000-000009000000}" name="Resolution Time (hrs)"/>
    <tableColumn id="10" xr3:uid="{00000000-0010-0000-0000-00000A000000}" name="SLA Met"/>
    <tableColumn id="11" xr3:uid="{00000000-0010-0000-0000-00000B000000}" name="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5"/>
  <sheetViews>
    <sheetView showGridLines="0" tabSelected="1" workbookViewId="0">
      <pane ySplit="4" topLeftCell="A5" activePane="bottomLeft" state="frozen"/>
      <selection pane="bottomLeft" activeCell="N57" sqref="N57"/>
    </sheetView>
  </sheetViews>
  <sheetFormatPr baseColWidth="10" defaultColWidth="8.83203125" defaultRowHeight="15" x14ac:dyDescent="0.2"/>
  <cols>
    <col min="1" max="1" width="16" customWidth="1"/>
    <col min="2" max="15" width="12.5" customWidth="1"/>
    <col min="18" max="31" width="13" hidden="1" customWidth="1"/>
  </cols>
  <sheetData>
    <row r="1" spans="1:3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R1" t="s">
        <v>1</v>
      </c>
      <c r="S1" t="s">
        <v>2</v>
      </c>
      <c r="U1" t="s">
        <v>3</v>
      </c>
      <c r="V1" t="s">
        <v>2</v>
      </c>
      <c r="X1" t="s">
        <v>4</v>
      </c>
      <c r="Y1" t="s">
        <v>2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</row>
    <row r="2" spans="1:3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R2" t="s">
        <v>10</v>
      </c>
      <c r="S2">
        <f>COUNTIFS(Data!$D$2:$D$1000,R2,Data!$B$2:$B$1000,"&gt;="&amp;$B$4,Data!$B$2:$B$1000,"&lt;="&amp;$D$4)</f>
        <v>17</v>
      </c>
      <c r="U2" t="s">
        <v>11</v>
      </c>
      <c r="V2">
        <f>COUNTIFS(Data!$E$2:$E$1000,U2,Data!$B$2:$B$1000,"&gt;="&amp;$B$4,Data!$B$2:$B$1000,"&lt;="&amp;$D$4)</f>
        <v>29</v>
      </c>
      <c r="X2" t="s">
        <v>12</v>
      </c>
      <c r="Y2">
        <f>COUNTIFS(Data!$G$2:$G$1000,X2,Data!$B$2:$B$1000,"&gt;="&amp;$B$4,Data!$B$2:$B$1000,"&lt;="&amp;$D$4)</f>
        <v>11</v>
      </c>
      <c r="AA2" s="1">
        <v>46023</v>
      </c>
      <c r="AB2">
        <f>COUNTIFS(Data!$B$2:$B$1000,"&gt;="&amp;MAX($AA2,$B$4),Data!$B$2:$B$1000,"&lt;"&amp;MIN(DATE(YEAR($AA2),MONTH($AA2)+1,1),$D$4+1))</f>
        <v>0</v>
      </c>
      <c r="AC2">
        <f>COUNTIFS(Data!$D$2:$D$1000,"P1",Data!$B$2:$B$1000,"&gt;="&amp;MAX($AA2,$B$4),Data!$B$2:$B$1000,"&lt;"&amp;MIN(DATE(YEAR($AA2),MONTH($AA2)+1,1),$D$4+1))</f>
        <v>0</v>
      </c>
      <c r="AD2">
        <f>COUNTIFS(Data!$J$2:$J$1000,"No",Data!$B$2:$B$1000,"&gt;="&amp;MAX($AA2,$B$4),Data!$B$2:$B$1000,"&lt;"&amp;MIN(DATE(YEAR($AA2),MONTH($AA2)+1,1),$D$4+1))</f>
        <v>0</v>
      </c>
      <c r="AE2" s="7">
        <f>IFERROR(COUNTIFS(Data!$B$2:$B$1000,"&gt;="&amp;MAX($AA2,$B$4),Data!$B$2:$B$1000,"&lt;"&amp;MIN(DATE(YEAR($AA2),MONTH($AA2)+1,1),$D$4+1),Data!$J$2:$J$1000,"Yes")/(COUNTIFS(Data!$B$2:$B$1000,"&gt;="&amp;MAX($AA2,$B$4),Data!$B$2:$B$1000,"&lt;"&amp;MIN(DATE(YEAR($AA2),MONTH($AA2)+1,1),$D$4+1),Data!$J$2:$J$1000,"Yes")+COUNTIFS(Data!$B$2:$B$1000,"&gt;="&amp;MAX($AA2,$B$4),Data!$B$2:$B$1000,"&lt;"&amp;MIN(DATE(YEAR($AA2),MONTH($AA2)+1,1),$D$4+1),Data!$J$2:$J$1000,"No")),0)</f>
        <v>0</v>
      </c>
    </row>
    <row r="3" spans="1:31" x14ac:dyDescent="0.2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R3" t="s">
        <v>14</v>
      </c>
      <c r="S3">
        <f>COUNTIFS(Data!$D$2:$D$1000,R3,Data!$B$2:$B$1000,"&gt;="&amp;$B$4,Data!$B$2:$B$1000,"&lt;="&amp;$D$4)</f>
        <v>14</v>
      </c>
      <c r="U3" t="s">
        <v>15</v>
      </c>
      <c r="V3">
        <f>COUNTIFS(Data!$E$2:$E$1000,U3,Data!$B$2:$B$1000,"&gt;="&amp;$B$4,Data!$B$2:$B$1000,"&lt;="&amp;$D$4)</f>
        <v>7</v>
      </c>
      <c r="X3" t="s">
        <v>16</v>
      </c>
      <c r="Y3">
        <f>COUNTIFS(Data!$G$2:$G$1000,X3,Data!$B$2:$B$1000,"&gt;="&amp;$B$4,Data!$B$2:$B$1000,"&lt;="&amp;$D$4)</f>
        <v>4</v>
      </c>
      <c r="AA3" s="1">
        <v>46054</v>
      </c>
      <c r="AB3">
        <f>COUNTIFS(Data!$B$2:$B$1000,"&gt;="&amp;MAX($AA3,$B$4),Data!$B$2:$B$1000,"&lt;"&amp;MIN(DATE(YEAR($AA3),MONTH($AA3)+1,1),$D$4+1))</f>
        <v>0</v>
      </c>
      <c r="AC3">
        <f>COUNTIFS(Data!$D$2:$D$1000,"P1",Data!$B$2:$B$1000,"&gt;="&amp;MAX($AA3,$B$4),Data!$B$2:$B$1000,"&lt;"&amp;MIN(DATE(YEAR($AA3),MONTH($AA3)+1,1),$D$4+1))</f>
        <v>0</v>
      </c>
      <c r="AD3">
        <f>COUNTIFS(Data!$J$2:$J$1000,"No",Data!$B$2:$B$1000,"&gt;="&amp;MAX($AA3,$B$4),Data!$B$2:$B$1000,"&lt;"&amp;MIN(DATE(YEAR($AA3),MONTH($AA3)+1,1),$D$4+1))</f>
        <v>0</v>
      </c>
      <c r="AE3" s="7">
        <f>IFERROR(COUNTIFS(Data!$B$2:$B$1000,"&gt;="&amp;MAX($AA3,$B$4),Data!$B$2:$B$1000,"&lt;"&amp;MIN(DATE(YEAR($AA3),MONTH($AA3)+1,1),$D$4+1),Data!$J$2:$J$1000,"Yes")/(COUNTIFS(Data!$B$2:$B$1000,"&gt;="&amp;MAX($AA3,$B$4),Data!$B$2:$B$1000,"&lt;"&amp;MIN(DATE(YEAR($AA3),MONTH($AA3)+1,1),$D$4+1),Data!$J$2:$J$1000,"Yes")+COUNTIFS(Data!$B$2:$B$1000,"&gt;="&amp;MAX($AA3,$B$4),Data!$B$2:$B$1000,"&lt;"&amp;MIN(DATE(YEAR($AA3),MONTH($AA3)+1,1),$D$4+1),Data!$J$2:$J$1000,"No")),0)</f>
        <v>0</v>
      </c>
    </row>
    <row r="4" spans="1:31" x14ac:dyDescent="0.2">
      <c r="A4" s="2" t="s">
        <v>17</v>
      </c>
      <c r="B4" s="3">
        <v>46143</v>
      </c>
      <c r="C4" s="2" t="s">
        <v>18</v>
      </c>
      <c r="D4" s="3">
        <v>46326</v>
      </c>
      <c r="F4" s="22" t="s">
        <v>19</v>
      </c>
      <c r="G4" s="21"/>
      <c r="H4" s="21"/>
      <c r="I4" s="21"/>
      <c r="J4" s="21"/>
      <c r="K4" s="21"/>
      <c r="L4" s="21"/>
      <c r="M4" s="21"/>
      <c r="N4" s="21"/>
      <c r="O4" s="21"/>
      <c r="R4" t="s">
        <v>20</v>
      </c>
      <c r="S4">
        <f>COUNTIFS(Data!$D$2:$D$1000,R4,Data!$B$2:$B$1000,"&gt;="&amp;$B$4,Data!$B$2:$B$1000,"&lt;="&amp;$D$4)</f>
        <v>10</v>
      </c>
      <c r="U4" t="s">
        <v>21</v>
      </c>
      <c r="V4">
        <f>COUNTIFS(Data!$E$2:$E$1000,U4,Data!$B$2:$B$1000,"&gt;="&amp;$B$4,Data!$B$2:$B$1000,"&lt;="&amp;$D$4)</f>
        <v>5</v>
      </c>
      <c r="X4" t="s">
        <v>22</v>
      </c>
      <c r="Y4">
        <f>COUNTIFS(Data!$G$2:$G$1000,X4,Data!$B$2:$B$1000,"&gt;="&amp;$B$4,Data!$B$2:$B$1000,"&lt;="&amp;$D$4)</f>
        <v>12</v>
      </c>
      <c r="AA4" s="1">
        <v>46082</v>
      </c>
      <c r="AB4">
        <f>COUNTIFS(Data!$B$2:$B$1000,"&gt;="&amp;MAX($AA4,$B$4),Data!$B$2:$B$1000,"&lt;"&amp;MIN(DATE(YEAR($AA4),MONTH($AA4)+1,1),$D$4+1))</f>
        <v>0</v>
      </c>
      <c r="AC4">
        <f>COUNTIFS(Data!$D$2:$D$1000,"P1",Data!$B$2:$B$1000,"&gt;="&amp;MAX($AA4,$B$4),Data!$B$2:$B$1000,"&lt;"&amp;MIN(DATE(YEAR($AA4),MONTH($AA4)+1,1),$D$4+1))</f>
        <v>0</v>
      </c>
      <c r="AD4">
        <f>COUNTIFS(Data!$J$2:$J$1000,"No",Data!$B$2:$B$1000,"&gt;="&amp;MAX($AA4,$B$4),Data!$B$2:$B$1000,"&lt;"&amp;MIN(DATE(YEAR($AA4),MONTH($AA4)+1,1),$D$4+1))</f>
        <v>0</v>
      </c>
      <c r="AE4" s="7">
        <f>IFERROR(COUNTIFS(Data!$B$2:$B$1000,"&gt;="&amp;MAX($AA4,$B$4),Data!$B$2:$B$1000,"&lt;"&amp;MIN(DATE(YEAR($AA4),MONTH($AA4)+1,1),$D$4+1),Data!$J$2:$J$1000,"Yes")/(COUNTIFS(Data!$B$2:$B$1000,"&gt;="&amp;MAX($AA4,$B$4),Data!$B$2:$B$1000,"&lt;"&amp;MIN(DATE(YEAR($AA4),MONTH($AA4)+1,1),$D$4+1),Data!$J$2:$J$1000,"Yes")+COUNTIFS(Data!$B$2:$B$1000,"&gt;="&amp;MAX($AA4,$B$4),Data!$B$2:$B$1000,"&lt;"&amp;MIN(DATE(YEAR($AA4),MONTH($AA4)+1,1),$D$4+1),Data!$J$2:$J$1000,"No")),0)</f>
        <v>0</v>
      </c>
    </row>
    <row r="5" spans="1:31" x14ac:dyDescent="0.2">
      <c r="X5" t="s">
        <v>23</v>
      </c>
      <c r="Y5">
        <f>COUNTIFS(Data!$G$2:$G$1000,X5,Data!$B$2:$B$1000,"&gt;="&amp;$B$4,Data!$B$2:$B$1000,"&lt;="&amp;$D$4)</f>
        <v>6</v>
      </c>
      <c r="AA5" s="1">
        <v>46113</v>
      </c>
      <c r="AB5">
        <f>COUNTIFS(Data!$B$2:$B$1000,"&gt;="&amp;MAX($AA5,$B$4),Data!$B$2:$B$1000,"&lt;"&amp;MIN(DATE(YEAR($AA5),MONTH($AA5)+1,1),$D$4+1))</f>
        <v>0</v>
      </c>
      <c r="AC5">
        <f>COUNTIFS(Data!$D$2:$D$1000,"P1",Data!$B$2:$B$1000,"&gt;="&amp;MAX($AA5,$B$4),Data!$B$2:$B$1000,"&lt;"&amp;MIN(DATE(YEAR($AA5),MONTH($AA5)+1,1),$D$4+1))</f>
        <v>0</v>
      </c>
      <c r="AD5">
        <f>COUNTIFS(Data!$J$2:$J$1000,"No",Data!$B$2:$B$1000,"&gt;="&amp;MAX($AA5,$B$4),Data!$B$2:$B$1000,"&lt;"&amp;MIN(DATE(YEAR($AA5),MONTH($AA5)+1,1),$D$4+1))</f>
        <v>0</v>
      </c>
      <c r="AE5" s="7">
        <f>IFERROR(COUNTIFS(Data!$B$2:$B$1000,"&gt;="&amp;MAX($AA5,$B$4),Data!$B$2:$B$1000,"&lt;"&amp;MIN(DATE(YEAR($AA5),MONTH($AA5)+1,1),$D$4+1),Data!$J$2:$J$1000,"Yes")/(COUNTIFS(Data!$B$2:$B$1000,"&gt;="&amp;MAX($AA5,$B$4),Data!$B$2:$B$1000,"&lt;"&amp;MIN(DATE(YEAR($AA5),MONTH($AA5)+1,1),$D$4+1),Data!$J$2:$J$1000,"Yes")+COUNTIFS(Data!$B$2:$B$1000,"&gt;="&amp;MAX($AA5,$B$4),Data!$B$2:$B$1000,"&lt;"&amp;MIN(DATE(YEAR($AA5),MONTH($AA5)+1,1),$D$4+1),Data!$J$2:$J$1000,"No")),0)</f>
        <v>0</v>
      </c>
    </row>
    <row r="6" spans="1:31" x14ac:dyDescent="0.2">
      <c r="A6" s="14" t="s">
        <v>24</v>
      </c>
      <c r="B6" s="15"/>
      <c r="C6" s="15"/>
      <c r="D6" s="14" t="s">
        <v>25</v>
      </c>
      <c r="E6" s="15"/>
      <c r="F6" s="15"/>
      <c r="G6" s="14" t="s">
        <v>26</v>
      </c>
      <c r="H6" s="15"/>
      <c r="I6" s="15"/>
      <c r="J6" s="14" t="s">
        <v>27</v>
      </c>
      <c r="K6" s="15"/>
      <c r="L6" s="15"/>
      <c r="M6" s="14" t="s">
        <v>28</v>
      </c>
      <c r="N6" s="15"/>
      <c r="O6" s="15"/>
      <c r="X6" t="s">
        <v>29</v>
      </c>
      <c r="Y6">
        <f>COUNTIFS(Data!$G$2:$G$1000,X6,Data!$B$2:$B$1000,"&gt;="&amp;$B$4,Data!$B$2:$B$1000,"&lt;="&amp;$D$4)</f>
        <v>8</v>
      </c>
      <c r="AA6" s="1">
        <v>46143</v>
      </c>
      <c r="AB6">
        <f>COUNTIFS(Data!$B$2:$B$1000,"&gt;="&amp;MAX($AA6,$B$4),Data!$B$2:$B$1000,"&lt;"&amp;MIN(DATE(YEAR($AA6),MONTH($AA6)+1,1),$D$4+1))</f>
        <v>4</v>
      </c>
      <c r="AC6">
        <f>COUNTIFS(Data!$D$2:$D$1000,"P1",Data!$B$2:$B$1000,"&gt;="&amp;MAX($AA6,$B$4),Data!$B$2:$B$1000,"&lt;"&amp;MIN(DATE(YEAR($AA6),MONTH($AA6)+1,1),$D$4+1))</f>
        <v>1</v>
      </c>
      <c r="AD6">
        <f>COUNTIFS(Data!$J$2:$J$1000,"No",Data!$B$2:$B$1000,"&gt;="&amp;MAX($AA6,$B$4),Data!$B$2:$B$1000,"&lt;"&amp;MIN(DATE(YEAR($AA6),MONTH($AA6)+1,1),$D$4+1))</f>
        <v>2</v>
      </c>
      <c r="AE6" s="7">
        <f>IFERROR(COUNTIFS(Data!$B$2:$B$1000,"&gt;="&amp;MAX($AA6,$B$4),Data!$B$2:$B$1000,"&lt;"&amp;MIN(DATE(YEAR($AA6),MONTH($AA6)+1,1),$D$4+1),Data!$J$2:$J$1000,"Yes")/(COUNTIFS(Data!$B$2:$B$1000,"&gt;="&amp;MAX($AA6,$B$4),Data!$B$2:$B$1000,"&lt;"&amp;MIN(DATE(YEAR($AA6),MONTH($AA6)+1,1),$D$4+1),Data!$J$2:$J$1000,"Yes")+COUNTIFS(Data!$B$2:$B$1000,"&gt;="&amp;MAX($AA6,$B$4),Data!$B$2:$B$1000,"&lt;"&amp;MIN(DATE(YEAR($AA6),MONTH($AA6)+1,1),$D$4+1),Data!$J$2:$J$1000,"No")),0)</f>
        <v>0.33333333333333331</v>
      </c>
    </row>
    <row r="7" spans="1:31" x14ac:dyDescent="0.2">
      <c r="A7" s="16">
        <f>COUNTIFS(Data!$B$2:$B$1000,"&gt;="&amp;$B$4,Data!$B$2:$B$1000,"&lt;="&amp;$D$4)</f>
        <v>41</v>
      </c>
      <c r="B7" s="17"/>
      <c r="C7" s="17"/>
      <c r="D7" s="16">
        <f>COUNTIFS(Data!$D$2:$D$1000,"P1",Data!$B$2:$B$1000,"&gt;="&amp;$B$4,Data!$B$2:$B$1000,"&lt;="&amp;$D$4)</f>
        <v>17</v>
      </c>
      <c r="E7" s="17"/>
      <c r="F7" s="17"/>
      <c r="G7" s="16">
        <f>COUNTIFS(Data!$J$2:$J$1000,"No",Data!$B$2:$B$1000,"&gt;="&amp;$B$4,Data!$B$2:$B$1000,"&lt;="&amp;$D$4)</f>
        <v>13</v>
      </c>
      <c r="H7" s="17"/>
      <c r="I7" s="17"/>
      <c r="J7" s="25">
        <f>IFERROR(COUNTIFS(Data!$J$2:$J$1000,"Yes",Data!$B$2:$B$1000,"&gt;="&amp;$B$4,Data!$B$2:$B$1000,"&lt;="&amp;$D$4)/(COUNTIFS(Data!$J$2:$J$1000,"Yes",Data!$B$2:$B$1000,"&gt;="&amp;$B$4,Data!$B$2:$B$1000,"&lt;="&amp;$D$4)+COUNTIFS(Data!$J$2:$J$1000,"No",Data!$B$2:$B$1000,"&gt;="&amp;$B$4,Data!$B$2:$B$1000,"&lt;="&amp;$D$4)),0)</f>
        <v>0.55172413793103448</v>
      </c>
      <c r="K7" s="17"/>
      <c r="L7" s="17"/>
      <c r="M7" s="16">
        <f>COUNTIFS(Data!$E$2:$E$1000,"Open",Data!$B$2:$B$1000,"&gt;="&amp;$B$4,Data!$B$2:$B$1000,"&lt;="&amp;$D$4,Data!$E$2:$E$1000,"Open")+COUNTIFS(Data!$B$2:$B$1000,"&gt;="&amp;$B$4,Data!$B$2:$B$1000,"&lt;="&amp;$D$4,Data!$E$2:$E$1000,"In Progress")</f>
        <v>12</v>
      </c>
      <c r="N7" s="17"/>
      <c r="O7" s="17"/>
      <c r="AA7" s="1">
        <v>46174</v>
      </c>
      <c r="AB7">
        <f>COUNTIFS(Data!$B$2:$B$1000,"&gt;="&amp;MAX($AA7,$B$4),Data!$B$2:$B$1000,"&lt;"&amp;MIN(DATE(YEAR($AA7),MONTH($AA7)+1,1),$D$4+1))</f>
        <v>10</v>
      </c>
      <c r="AC7">
        <f>COUNTIFS(Data!$D$2:$D$1000,"P1",Data!$B$2:$B$1000,"&gt;="&amp;MAX($AA7,$B$4),Data!$B$2:$B$1000,"&lt;"&amp;MIN(DATE(YEAR($AA7),MONTH($AA7)+1,1),$D$4+1))</f>
        <v>4</v>
      </c>
      <c r="AD7">
        <f>COUNTIFS(Data!$J$2:$J$1000,"No",Data!$B$2:$B$1000,"&gt;="&amp;MAX($AA7,$B$4),Data!$B$2:$B$1000,"&lt;"&amp;MIN(DATE(YEAR($AA7),MONTH($AA7)+1,1),$D$4+1))</f>
        <v>3</v>
      </c>
      <c r="AE7" s="7">
        <f>IFERROR(COUNTIFS(Data!$B$2:$B$1000,"&gt;="&amp;MAX($AA7,$B$4),Data!$B$2:$B$1000,"&lt;"&amp;MIN(DATE(YEAR($AA7),MONTH($AA7)+1,1),$D$4+1),Data!$J$2:$J$1000,"Yes")/(COUNTIFS(Data!$B$2:$B$1000,"&gt;="&amp;MAX($AA7,$B$4),Data!$B$2:$B$1000,"&lt;"&amp;MIN(DATE(YEAR($AA7),MONTH($AA7)+1,1),$D$4+1),Data!$J$2:$J$1000,"Yes")+COUNTIFS(Data!$B$2:$B$1000,"&gt;="&amp;MAX($AA7,$B$4),Data!$B$2:$B$1000,"&lt;"&amp;MIN(DATE(YEAR($AA7),MONTH($AA7)+1,1),$D$4+1),Data!$J$2:$J$1000,"No")),0)</f>
        <v>0.5714285714285714</v>
      </c>
    </row>
    <row r="8" spans="1:31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AA8" s="1">
        <v>46204</v>
      </c>
      <c r="AB8">
        <f>COUNTIFS(Data!$B$2:$B$1000,"&gt;="&amp;MAX($AA8,$B$4),Data!$B$2:$B$1000,"&lt;"&amp;MIN(DATE(YEAR($AA8),MONTH($AA8)+1,1),$D$4+1))</f>
        <v>10</v>
      </c>
      <c r="AC8">
        <f>COUNTIFS(Data!$D$2:$D$1000,"P1",Data!$B$2:$B$1000,"&gt;="&amp;MAX($AA8,$B$4),Data!$B$2:$B$1000,"&lt;"&amp;MIN(DATE(YEAR($AA8),MONTH($AA8)+1,1),$D$4+1))</f>
        <v>4</v>
      </c>
      <c r="AD8">
        <f>COUNTIFS(Data!$J$2:$J$1000,"No",Data!$B$2:$B$1000,"&gt;="&amp;MAX($AA8,$B$4),Data!$B$2:$B$1000,"&lt;"&amp;MIN(DATE(YEAR($AA8),MONTH($AA8)+1,1),$D$4+1))</f>
        <v>4</v>
      </c>
      <c r="AE8" s="7">
        <f>IFERROR(COUNTIFS(Data!$B$2:$B$1000,"&gt;="&amp;MAX($AA8,$B$4),Data!$B$2:$B$1000,"&lt;"&amp;MIN(DATE(YEAR($AA8),MONTH($AA8)+1,1),$D$4+1),Data!$J$2:$J$1000,"Yes")/(COUNTIFS(Data!$B$2:$B$1000,"&gt;="&amp;MAX($AA8,$B$4),Data!$B$2:$B$1000,"&lt;"&amp;MIN(DATE(YEAR($AA8),MONTH($AA8)+1,1),$D$4+1),Data!$J$2:$J$1000,"Yes")+COUNTIFS(Data!$B$2:$B$1000,"&gt;="&amp;MAX($AA8,$B$4),Data!$B$2:$B$1000,"&lt;"&amp;MIN(DATE(YEAR($AA8),MONTH($AA8)+1,1),$D$4+1),Data!$J$2:$J$1000,"No")),0)</f>
        <v>0.5</v>
      </c>
    </row>
    <row r="9" spans="1:31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AA9" s="1">
        <v>46235</v>
      </c>
      <c r="AB9">
        <f>COUNTIFS(Data!$B$2:$B$1000,"&gt;="&amp;MAX($AA9,$B$4),Data!$B$2:$B$1000,"&lt;"&amp;MIN(DATE(YEAR($AA9),MONTH($AA9)+1,1),$D$4+1))</f>
        <v>11</v>
      </c>
      <c r="AC9">
        <f>COUNTIFS(Data!$D$2:$D$1000,"P1",Data!$B$2:$B$1000,"&gt;="&amp;MAX($AA9,$B$4),Data!$B$2:$B$1000,"&lt;"&amp;MIN(DATE(YEAR($AA9),MONTH($AA9)+1,1),$D$4+1))</f>
        <v>5</v>
      </c>
      <c r="AD9">
        <f>COUNTIFS(Data!$J$2:$J$1000,"No",Data!$B$2:$B$1000,"&gt;="&amp;MAX($AA9,$B$4),Data!$B$2:$B$1000,"&lt;"&amp;MIN(DATE(YEAR($AA9),MONTH($AA9)+1,1),$D$4+1))</f>
        <v>2</v>
      </c>
      <c r="AE9" s="7">
        <f>IFERROR(COUNTIFS(Data!$B$2:$B$1000,"&gt;="&amp;MAX($AA9,$B$4),Data!$B$2:$B$1000,"&lt;"&amp;MIN(DATE(YEAR($AA9),MONTH($AA9)+1,1),$D$4+1),Data!$J$2:$J$1000,"Yes")/(COUNTIFS(Data!$B$2:$B$1000,"&gt;="&amp;MAX($AA9,$B$4),Data!$B$2:$B$1000,"&lt;"&amp;MIN(DATE(YEAR($AA9),MONTH($AA9)+1,1),$D$4+1),Data!$J$2:$J$1000,"Yes")+COUNTIFS(Data!$B$2:$B$1000,"&gt;="&amp;MAX($AA9,$B$4),Data!$B$2:$B$1000,"&lt;"&amp;MIN(DATE(YEAR($AA9),MONTH($AA9)+1,1),$D$4+1),Data!$J$2:$J$1000,"No")),0)</f>
        <v>0.6</v>
      </c>
    </row>
    <row r="10" spans="1:31" x14ac:dyDescent="0.2">
      <c r="AA10" s="1">
        <v>46266</v>
      </c>
      <c r="AB10">
        <f>COUNTIFS(Data!$B$2:$B$1000,"&gt;="&amp;MAX($AA10,$B$4),Data!$B$2:$B$1000,"&lt;"&amp;MIN(DATE(YEAR($AA10),MONTH($AA10)+1,1),$D$4+1))</f>
        <v>2</v>
      </c>
      <c r="AC10">
        <f>COUNTIFS(Data!$D$2:$D$1000,"P1",Data!$B$2:$B$1000,"&gt;="&amp;MAX($AA10,$B$4),Data!$B$2:$B$1000,"&lt;"&amp;MIN(DATE(YEAR($AA10),MONTH($AA10)+1,1),$D$4+1))</f>
        <v>1</v>
      </c>
      <c r="AD10">
        <f>COUNTIFS(Data!$J$2:$J$1000,"No",Data!$B$2:$B$1000,"&gt;="&amp;MAX($AA10,$B$4),Data!$B$2:$B$1000,"&lt;"&amp;MIN(DATE(YEAR($AA10),MONTH($AA10)+1,1),$D$4+1))</f>
        <v>1</v>
      </c>
      <c r="AE10" s="7">
        <f>IFERROR(COUNTIFS(Data!$B$2:$B$1000,"&gt;="&amp;MAX($AA10,$B$4),Data!$B$2:$B$1000,"&lt;"&amp;MIN(DATE(YEAR($AA10),MONTH($AA10)+1,1),$D$4+1),Data!$J$2:$J$1000,"Yes")/(COUNTIFS(Data!$B$2:$B$1000,"&gt;="&amp;MAX($AA10,$B$4),Data!$B$2:$B$1000,"&lt;"&amp;MIN(DATE(YEAR($AA10),MONTH($AA10)+1,1),$D$4+1),Data!$J$2:$J$1000,"Yes")+COUNTIFS(Data!$B$2:$B$1000,"&gt;="&amp;MAX($AA10,$B$4),Data!$B$2:$B$1000,"&lt;"&amp;MIN(DATE(YEAR($AA10),MONTH($AA10)+1,1),$D$4+1),Data!$J$2:$J$1000,"No")),0)</f>
        <v>0.5</v>
      </c>
    </row>
    <row r="11" spans="1:31" ht="22" customHeight="1" x14ac:dyDescent="0.2">
      <c r="A11" s="18" t="s">
        <v>30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AA11" s="1">
        <v>46296</v>
      </c>
      <c r="AB11">
        <f>COUNTIFS(Data!$B$2:$B$1000,"&gt;="&amp;MAX($AA11,$B$4),Data!$B$2:$B$1000,"&lt;"&amp;MIN(DATE(YEAR($AA11),MONTH($AA11)+1,1),$D$4+1))</f>
        <v>4</v>
      </c>
      <c r="AC11">
        <f>COUNTIFS(Data!$D$2:$D$1000,"P1",Data!$B$2:$B$1000,"&gt;="&amp;MAX($AA11,$B$4),Data!$B$2:$B$1000,"&lt;"&amp;MIN(DATE(YEAR($AA11),MONTH($AA11)+1,1),$D$4+1))</f>
        <v>2</v>
      </c>
      <c r="AD11">
        <f>COUNTIFS(Data!$J$2:$J$1000,"No",Data!$B$2:$B$1000,"&gt;="&amp;MAX($AA11,$B$4),Data!$B$2:$B$1000,"&lt;"&amp;MIN(DATE(YEAR($AA11),MONTH($AA11)+1,1),$D$4+1))</f>
        <v>1</v>
      </c>
      <c r="AE11" s="7">
        <f>IFERROR(COUNTIFS(Data!$B$2:$B$1000,"&gt;="&amp;MAX($AA11,$B$4),Data!$B$2:$B$1000,"&lt;"&amp;MIN(DATE(YEAR($AA11),MONTH($AA11)+1,1),$D$4+1),Data!$J$2:$J$1000,"Yes")/(COUNTIFS(Data!$B$2:$B$1000,"&gt;="&amp;MAX($AA11,$B$4),Data!$B$2:$B$1000,"&lt;"&amp;MIN(DATE(YEAR($AA11),MONTH($AA11)+1,1),$D$4+1),Data!$J$2:$J$1000,"Yes")+COUNTIFS(Data!$B$2:$B$1000,"&gt;="&amp;MAX($AA11,$B$4),Data!$B$2:$B$1000,"&lt;"&amp;MIN(DATE(YEAR($AA11),MONTH($AA11)+1,1),$D$4+1),Data!$J$2:$J$1000,"No")),0)</f>
        <v>0.75</v>
      </c>
    </row>
    <row r="12" spans="1:31" x14ac:dyDescent="0.2">
      <c r="AA12" s="1">
        <v>46327</v>
      </c>
      <c r="AB12">
        <f>COUNTIFS(Data!$B$2:$B$1000,"&gt;="&amp;MAX($AA12,$B$4),Data!$B$2:$B$1000,"&lt;"&amp;MIN(DATE(YEAR($AA12),MONTH($AA12)+1,1),$D$4+1))</f>
        <v>0</v>
      </c>
      <c r="AC12">
        <f>COUNTIFS(Data!$D$2:$D$1000,"P1",Data!$B$2:$B$1000,"&gt;="&amp;MAX($AA12,$B$4),Data!$B$2:$B$1000,"&lt;"&amp;MIN(DATE(YEAR($AA12),MONTH($AA12)+1,1),$D$4+1))</f>
        <v>0</v>
      </c>
      <c r="AD12">
        <f>COUNTIFS(Data!$J$2:$J$1000,"No",Data!$B$2:$B$1000,"&gt;="&amp;MAX($AA12,$B$4),Data!$B$2:$B$1000,"&lt;"&amp;MIN(DATE(YEAR($AA12),MONTH($AA12)+1,1),$D$4+1))</f>
        <v>0</v>
      </c>
      <c r="AE12" s="7">
        <f>IFERROR(COUNTIFS(Data!$B$2:$B$1000,"&gt;="&amp;MAX($AA12,$B$4),Data!$B$2:$B$1000,"&lt;"&amp;MIN(DATE(YEAR($AA12),MONTH($AA12)+1,1),$D$4+1),Data!$J$2:$J$1000,"Yes")/(COUNTIFS(Data!$B$2:$B$1000,"&gt;="&amp;MAX($AA12,$B$4),Data!$B$2:$B$1000,"&lt;"&amp;MIN(DATE(YEAR($AA12),MONTH($AA12)+1,1),$D$4+1),Data!$J$2:$J$1000,"Yes")+COUNTIFS(Data!$B$2:$B$1000,"&gt;="&amp;MAX($AA12,$B$4),Data!$B$2:$B$1000,"&lt;"&amp;MIN(DATE(YEAR($AA12),MONTH($AA12)+1,1),$D$4+1),Data!$J$2:$J$1000,"No")),0)</f>
        <v>0</v>
      </c>
    </row>
    <row r="13" spans="1:31" x14ac:dyDescent="0.2">
      <c r="AA13" s="1">
        <v>46357</v>
      </c>
      <c r="AB13">
        <f>COUNTIFS(Data!$B$2:$B$1000,"&gt;="&amp;MAX($AA13,$B$4),Data!$B$2:$B$1000,"&lt;"&amp;MIN(DATE(YEAR($AA13),MONTH($AA13)+1,1),$D$4+1))</f>
        <v>0</v>
      </c>
      <c r="AC13">
        <f>COUNTIFS(Data!$D$2:$D$1000,"P1",Data!$B$2:$B$1000,"&gt;="&amp;MAX($AA13,$B$4),Data!$B$2:$B$1000,"&lt;"&amp;MIN(DATE(YEAR($AA13),MONTH($AA13)+1,1),$D$4+1))</f>
        <v>0</v>
      </c>
      <c r="AD13">
        <f>COUNTIFS(Data!$J$2:$J$1000,"No",Data!$B$2:$B$1000,"&gt;="&amp;MAX($AA13,$B$4),Data!$B$2:$B$1000,"&lt;"&amp;MIN(DATE(YEAR($AA13),MONTH($AA13)+1,1),$D$4+1))</f>
        <v>0</v>
      </c>
      <c r="AE13" s="7">
        <f>IFERROR(COUNTIFS(Data!$B$2:$B$1000,"&gt;="&amp;MAX($AA13,$B$4),Data!$B$2:$B$1000,"&lt;"&amp;MIN(DATE(YEAR($AA13),MONTH($AA13)+1,1),$D$4+1),Data!$J$2:$J$1000,"Yes")/(COUNTIFS(Data!$B$2:$B$1000,"&gt;="&amp;MAX($AA13,$B$4),Data!$B$2:$B$1000,"&lt;"&amp;MIN(DATE(YEAR($AA13),MONTH($AA13)+1,1),$D$4+1),Data!$J$2:$J$1000,"Yes")+COUNTIFS(Data!$B$2:$B$1000,"&gt;="&amp;MAX($AA13,$B$4),Data!$B$2:$B$1000,"&lt;"&amp;MIN(DATE(YEAR($AA13),MONTH($AA13)+1,1),$D$4+1),Data!$J$2:$J$1000,"No")),0)</f>
        <v>0</v>
      </c>
    </row>
    <row r="27" spans="1:15" ht="22" customHeight="1" x14ac:dyDescent="0.2">
      <c r="A27" s="18" t="s">
        <v>31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43" spans="1:15" ht="22" customHeight="1" x14ac:dyDescent="0.2">
      <c r="A43" s="18" t="s">
        <v>32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60" spans="1:15" ht="22" customHeight="1" x14ac:dyDescent="0.2">
      <c r="A60" s="18" t="s">
        <v>33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77" spans="1:15" ht="22" customHeight="1" x14ac:dyDescent="0.2">
      <c r="A77" s="18" t="s">
        <v>34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</row>
    <row r="78" spans="1:15" x14ac:dyDescent="0.2">
      <c r="A78" s="8" t="s">
        <v>5</v>
      </c>
      <c r="B78" s="8" t="s">
        <v>6</v>
      </c>
      <c r="C78" s="8" t="s">
        <v>7</v>
      </c>
      <c r="D78" s="8" t="s">
        <v>8</v>
      </c>
      <c r="E78" s="8" t="s">
        <v>9</v>
      </c>
    </row>
    <row r="79" spans="1:15" x14ac:dyDescent="0.2">
      <c r="A79" s="9">
        <f t="shared" ref="A79:A90" si="0">AA2</f>
        <v>46023</v>
      </c>
      <c r="B79" s="10">
        <f t="shared" ref="B79:B90" si="1">AB2</f>
        <v>0</v>
      </c>
      <c r="C79" s="10">
        <f t="shared" ref="C79:C90" si="2">AC2</f>
        <v>0</v>
      </c>
      <c r="D79" s="10">
        <f t="shared" ref="D79:D90" si="3">AD2</f>
        <v>0</v>
      </c>
      <c r="E79" s="11">
        <f t="shared" ref="E79:E90" si="4">AE2</f>
        <v>0</v>
      </c>
    </row>
    <row r="80" spans="1:15" x14ac:dyDescent="0.2">
      <c r="A80" s="12">
        <f t="shared" si="0"/>
        <v>46054</v>
      </c>
      <c r="B80">
        <f t="shared" si="1"/>
        <v>0</v>
      </c>
      <c r="C80">
        <f t="shared" si="2"/>
        <v>0</v>
      </c>
      <c r="D80">
        <f t="shared" si="3"/>
        <v>0</v>
      </c>
      <c r="E80" s="13">
        <f t="shared" si="4"/>
        <v>0</v>
      </c>
    </row>
    <row r="81" spans="1:15" x14ac:dyDescent="0.2">
      <c r="A81" s="9">
        <f t="shared" si="0"/>
        <v>46082</v>
      </c>
      <c r="B81" s="10">
        <f t="shared" si="1"/>
        <v>0</v>
      </c>
      <c r="C81" s="10">
        <f t="shared" si="2"/>
        <v>0</v>
      </c>
      <c r="D81" s="10">
        <f t="shared" si="3"/>
        <v>0</v>
      </c>
      <c r="E81" s="11">
        <f t="shared" si="4"/>
        <v>0</v>
      </c>
    </row>
    <row r="82" spans="1:15" x14ac:dyDescent="0.2">
      <c r="A82" s="12">
        <f t="shared" si="0"/>
        <v>46113</v>
      </c>
      <c r="B82">
        <f t="shared" si="1"/>
        <v>0</v>
      </c>
      <c r="C82">
        <f t="shared" si="2"/>
        <v>0</v>
      </c>
      <c r="D82">
        <f t="shared" si="3"/>
        <v>0</v>
      </c>
      <c r="E82" s="13">
        <f t="shared" si="4"/>
        <v>0</v>
      </c>
    </row>
    <row r="83" spans="1:15" x14ac:dyDescent="0.2">
      <c r="A83" s="9">
        <f t="shared" si="0"/>
        <v>46143</v>
      </c>
      <c r="B83" s="10">
        <f t="shared" si="1"/>
        <v>4</v>
      </c>
      <c r="C83" s="10">
        <f t="shared" si="2"/>
        <v>1</v>
      </c>
      <c r="D83" s="10">
        <f t="shared" si="3"/>
        <v>2</v>
      </c>
      <c r="E83" s="11">
        <f t="shared" si="4"/>
        <v>0.33333333333333331</v>
      </c>
    </row>
    <row r="84" spans="1:15" x14ac:dyDescent="0.2">
      <c r="A84" s="12">
        <f t="shared" si="0"/>
        <v>46174</v>
      </c>
      <c r="B84">
        <f t="shared" si="1"/>
        <v>10</v>
      </c>
      <c r="C84">
        <f t="shared" si="2"/>
        <v>4</v>
      </c>
      <c r="D84">
        <f t="shared" si="3"/>
        <v>3</v>
      </c>
      <c r="E84" s="13">
        <f t="shared" si="4"/>
        <v>0.5714285714285714</v>
      </c>
    </row>
    <row r="85" spans="1:15" x14ac:dyDescent="0.2">
      <c r="A85" s="9">
        <f t="shared" si="0"/>
        <v>46204</v>
      </c>
      <c r="B85" s="10">
        <f t="shared" si="1"/>
        <v>10</v>
      </c>
      <c r="C85" s="10">
        <f t="shared" si="2"/>
        <v>4</v>
      </c>
      <c r="D85" s="10">
        <f t="shared" si="3"/>
        <v>4</v>
      </c>
      <c r="E85" s="11">
        <f t="shared" si="4"/>
        <v>0.5</v>
      </c>
    </row>
    <row r="86" spans="1:15" x14ac:dyDescent="0.2">
      <c r="A86" s="12">
        <f t="shared" si="0"/>
        <v>46235</v>
      </c>
      <c r="B86">
        <f t="shared" si="1"/>
        <v>11</v>
      </c>
      <c r="C86">
        <f t="shared" si="2"/>
        <v>5</v>
      </c>
      <c r="D86">
        <f t="shared" si="3"/>
        <v>2</v>
      </c>
      <c r="E86" s="13">
        <f t="shared" si="4"/>
        <v>0.6</v>
      </c>
    </row>
    <row r="87" spans="1:15" x14ac:dyDescent="0.2">
      <c r="A87" s="9">
        <f t="shared" si="0"/>
        <v>46266</v>
      </c>
      <c r="B87" s="10">
        <f t="shared" si="1"/>
        <v>2</v>
      </c>
      <c r="C87" s="10">
        <f t="shared" si="2"/>
        <v>1</v>
      </c>
      <c r="D87" s="10">
        <f t="shared" si="3"/>
        <v>1</v>
      </c>
      <c r="E87" s="11">
        <f t="shared" si="4"/>
        <v>0.5</v>
      </c>
    </row>
    <row r="88" spans="1:15" x14ac:dyDescent="0.2">
      <c r="A88" s="12">
        <f t="shared" si="0"/>
        <v>46296</v>
      </c>
      <c r="B88">
        <f t="shared" si="1"/>
        <v>4</v>
      </c>
      <c r="C88">
        <f t="shared" si="2"/>
        <v>2</v>
      </c>
      <c r="D88">
        <f t="shared" si="3"/>
        <v>1</v>
      </c>
      <c r="E88" s="13">
        <f t="shared" si="4"/>
        <v>0.75</v>
      </c>
    </row>
    <row r="89" spans="1:15" x14ac:dyDescent="0.2">
      <c r="A89" s="9">
        <f t="shared" si="0"/>
        <v>46327</v>
      </c>
      <c r="B89" s="10">
        <f t="shared" si="1"/>
        <v>0</v>
      </c>
      <c r="C89" s="10">
        <f t="shared" si="2"/>
        <v>0</v>
      </c>
      <c r="D89" s="10">
        <f t="shared" si="3"/>
        <v>0</v>
      </c>
      <c r="E89" s="11">
        <f t="shared" si="4"/>
        <v>0</v>
      </c>
    </row>
    <row r="90" spans="1:15" x14ac:dyDescent="0.2">
      <c r="A90" s="12">
        <f t="shared" si="0"/>
        <v>46357</v>
      </c>
      <c r="B90">
        <f t="shared" si="1"/>
        <v>0</v>
      </c>
      <c r="C90">
        <f t="shared" si="2"/>
        <v>0</v>
      </c>
      <c r="D90">
        <f t="shared" si="3"/>
        <v>0</v>
      </c>
      <c r="E90" s="13">
        <f t="shared" si="4"/>
        <v>0</v>
      </c>
    </row>
    <row r="94" spans="1:15" ht="22" customHeight="1" x14ac:dyDescent="0.2">
      <c r="A94" s="26" t="s">
        <v>115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</row>
    <row r="95" spans="1:15" ht="32" x14ac:dyDescent="0.2">
      <c r="A95" s="4" t="s">
        <v>35</v>
      </c>
      <c r="B95" s="4" t="s">
        <v>36</v>
      </c>
      <c r="C95" s="4" t="s">
        <v>1</v>
      </c>
      <c r="D95" s="4" t="s">
        <v>3</v>
      </c>
      <c r="E95" s="4" t="s">
        <v>37</v>
      </c>
      <c r="F95" s="4" t="s">
        <v>38</v>
      </c>
      <c r="G95" s="4" t="s">
        <v>39</v>
      </c>
      <c r="H95" s="4" t="s">
        <v>40</v>
      </c>
      <c r="I95" s="4" t="s">
        <v>41</v>
      </c>
      <c r="J95" s="4" t="s">
        <v>42</v>
      </c>
    </row>
    <row r="96" spans="1:15" x14ac:dyDescent="0.2">
      <c r="A96" t="str">
        <f>Data!A2</f>
        <v>VG-1001</v>
      </c>
      <c r="B96" s="5">
        <f>Data!B2</f>
        <v>46077</v>
      </c>
      <c r="C96" t="str">
        <f>Data!D2</f>
        <v>P3</v>
      </c>
      <c r="D96" t="str">
        <f>Data!E2</f>
        <v>Closed</v>
      </c>
      <c r="E96" t="str">
        <f>Data!F2</f>
        <v>Application Error</v>
      </c>
      <c r="F96" t="str">
        <f>Data!G2</f>
        <v>S. Kumar</v>
      </c>
      <c r="G96">
        <f>Data!H2</f>
        <v>24</v>
      </c>
      <c r="H96">
        <f>Data!I2</f>
        <v>25.4</v>
      </c>
      <c r="I96" t="str">
        <f>Data!J2</f>
        <v>No</v>
      </c>
      <c r="J96" t="str">
        <f>Data!K2</f>
        <v>Phone</v>
      </c>
    </row>
    <row r="97" spans="1:10" x14ac:dyDescent="0.2">
      <c r="A97" t="str">
        <f>Data!A3</f>
        <v>VG-1002</v>
      </c>
      <c r="B97" s="5">
        <f>Data!B3</f>
        <v>46153</v>
      </c>
      <c r="C97" t="str">
        <f>Data!D3</f>
        <v>P2</v>
      </c>
      <c r="D97" t="str">
        <f>Data!E3</f>
        <v>Closed</v>
      </c>
      <c r="E97" t="str">
        <f>Data!F3</f>
        <v>Performance</v>
      </c>
      <c r="F97" t="str">
        <f>Data!G3</f>
        <v>M. Singh</v>
      </c>
      <c r="G97">
        <f>Data!H3</f>
        <v>8</v>
      </c>
      <c r="H97">
        <f>Data!I3</f>
        <v>8.8000000000000007</v>
      </c>
      <c r="I97" t="str">
        <f>Data!J3</f>
        <v>No</v>
      </c>
      <c r="J97" t="str">
        <f>Data!K3</f>
        <v>Phone</v>
      </c>
    </row>
    <row r="98" spans="1:10" x14ac:dyDescent="0.2">
      <c r="A98" t="str">
        <f>Data!A4</f>
        <v>VG-1003</v>
      </c>
      <c r="B98" s="5">
        <f>Data!B4</f>
        <v>46226</v>
      </c>
      <c r="C98" t="str">
        <f>Data!D4</f>
        <v>P2</v>
      </c>
      <c r="D98" t="str">
        <f>Data!E4</f>
        <v>In Progress</v>
      </c>
      <c r="E98" t="str">
        <f>Data!F4</f>
        <v>Access</v>
      </c>
      <c r="F98" t="str">
        <f>Data!G4</f>
        <v>S. Kumar</v>
      </c>
      <c r="G98">
        <f>Data!H4</f>
        <v>8</v>
      </c>
      <c r="H98">
        <f>Data!I4</f>
        <v>0</v>
      </c>
      <c r="I98" t="str">
        <f>Data!J4</f>
        <v>Pending</v>
      </c>
      <c r="J98" t="str">
        <f>Data!K4</f>
        <v>Email</v>
      </c>
    </row>
    <row r="99" spans="1:10" x14ac:dyDescent="0.2">
      <c r="A99" t="str">
        <f>Data!A5</f>
        <v>VG-1004</v>
      </c>
      <c r="B99" s="5">
        <f>Data!B5</f>
        <v>46184</v>
      </c>
      <c r="C99" t="str">
        <f>Data!D5</f>
        <v>P2</v>
      </c>
      <c r="D99" t="str">
        <f>Data!E5</f>
        <v>In Progress</v>
      </c>
      <c r="E99" t="str">
        <f>Data!F5</f>
        <v>Performance</v>
      </c>
      <c r="F99" t="str">
        <f>Data!G5</f>
        <v>P. Joshi</v>
      </c>
      <c r="G99">
        <f>Data!H5</f>
        <v>8</v>
      </c>
      <c r="H99">
        <f>Data!I5</f>
        <v>0</v>
      </c>
      <c r="I99" t="str">
        <f>Data!J5</f>
        <v>Pending</v>
      </c>
      <c r="J99" t="str">
        <f>Data!K5</f>
        <v>Email</v>
      </c>
    </row>
    <row r="100" spans="1:10" x14ac:dyDescent="0.2">
      <c r="A100" t="str">
        <f>Data!A6</f>
        <v>VG-1005</v>
      </c>
      <c r="B100" s="5">
        <f>Data!B6</f>
        <v>46105</v>
      </c>
      <c r="C100" t="str">
        <f>Data!D6</f>
        <v>P3</v>
      </c>
      <c r="D100" t="str">
        <f>Data!E6</f>
        <v>Closed</v>
      </c>
      <c r="E100" t="str">
        <f>Data!F6</f>
        <v>Access</v>
      </c>
      <c r="F100" t="str">
        <f>Data!G6</f>
        <v>A. Sharma</v>
      </c>
      <c r="G100">
        <f>Data!H6</f>
        <v>24</v>
      </c>
      <c r="H100">
        <f>Data!I6</f>
        <v>11.3</v>
      </c>
      <c r="I100" t="str">
        <f>Data!J6</f>
        <v>Yes</v>
      </c>
      <c r="J100" t="str">
        <f>Data!K6</f>
        <v>Email</v>
      </c>
    </row>
    <row r="101" spans="1:10" x14ac:dyDescent="0.2">
      <c r="A101" t="str">
        <f>Data!A7</f>
        <v>VG-1006</v>
      </c>
      <c r="B101" s="5">
        <f>Data!B7</f>
        <v>46195</v>
      </c>
      <c r="C101" t="str">
        <f>Data!D7</f>
        <v>P1</v>
      </c>
      <c r="D101" t="str">
        <f>Data!E7</f>
        <v>Closed</v>
      </c>
      <c r="E101" t="str">
        <f>Data!F7</f>
        <v>Service Request</v>
      </c>
      <c r="F101" t="str">
        <f>Data!G7</f>
        <v>M. Singh</v>
      </c>
      <c r="G101">
        <f>Data!H7</f>
        <v>4</v>
      </c>
      <c r="H101">
        <f>Data!I7</f>
        <v>2.1</v>
      </c>
      <c r="I101" t="str">
        <f>Data!J7</f>
        <v>Yes</v>
      </c>
      <c r="J101" t="str">
        <f>Data!K7</f>
        <v>Phone</v>
      </c>
    </row>
    <row r="102" spans="1:10" x14ac:dyDescent="0.2">
      <c r="A102" t="str">
        <f>Data!A8</f>
        <v>VG-1007</v>
      </c>
      <c r="B102" s="5">
        <f>Data!B8</f>
        <v>46247</v>
      </c>
      <c r="C102" t="str">
        <f>Data!D8</f>
        <v>P3</v>
      </c>
      <c r="D102" t="str">
        <f>Data!E8</f>
        <v>Closed</v>
      </c>
      <c r="E102" t="str">
        <f>Data!F8</f>
        <v>Access</v>
      </c>
      <c r="F102" t="str">
        <f>Data!G8</f>
        <v>P. Joshi</v>
      </c>
      <c r="G102">
        <f>Data!H8</f>
        <v>24</v>
      </c>
      <c r="H102">
        <f>Data!I8</f>
        <v>25</v>
      </c>
      <c r="I102" t="str">
        <f>Data!J8</f>
        <v>No</v>
      </c>
      <c r="J102" t="str">
        <f>Data!K8</f>
        <v>Phone</v>
      </c>
    </row>
    <row r="103" spans="1:10" x14ac:dyDescent="0.2">
      <c r="A103" t="str">
        <f>Data!A9</f>
        <v>VG-1008</v>
      </c>
      <c r="B103" s="5">
        <f>Data!B9</f>
        <v>46209</v>
      </c>
      <c r="C103" t="str">
        <f>Data!D9</f>
        <v>P1</v>
      </c>
      <c r="D103" t="str">
        <f>Data!E9</f>
        <v>In Progress</v>
      </c>
      <c r="E103" t="str">
        <f>Data!F9</f>
        <v>Service Request</v>
      </c>
      <c r="F103" t="str">
        <f>Data!G9</f>
        <v>P. Joshi</v>
      </c>
      <c r="G103">
        <f>Data!H9</f>
        <v>4</v>
      </c>
      <c r="H103">
        <f>Data!I9</f>
        <v>0</v>
      </c>
      <c r="I103" t="str">
        <f>Data!J9</f>
        <v>Pending</v>
      </c>
      <c r="J103" t="str">
        <f>Data!K9</f>
        <v>Phone</v>
      </c>
    </row>
    <row r="104" spans="1:10" x14ac:dyDescent="0.2">
      <c r="A104" t="str">
        <f>Data!A10</f>
        <v>VG-1009</v>
      </c>
      <c r="B104" s="5">
        <f>Data!B10</f>
        <v>46122</v>
      </c>
      <c r="C104" t="str">
        <f>Data!D10</f>
        <v>P2</v>
      </c>
      <c r="D104" t="str">
        <f>Data!E10</f>
        <v>Closed</v>
      </c>
      <c r="E104" t="str">
        <f>Data!F10</f>
        <v>Performance</v>
      </c>
      <c r="F104" t="str">
        <f>Data!G10</f>
        <v>P. Joshi</v>
      </c>
      <c r="G104">
        <f>Data!H10</f>
        <v>8</v>
      </c>
      <c r="H104">
        <f>Data!I10</f>
        <v>3.6</v>
      </c>
      <c r="I104" t="str">
        <f>Data!J10</f>
        <v>Yes</v>
      </c>
      <c r="J104" t="str">
        <f>Data!K10</f>
        <v>Portal</v>
      </c>
    </row>
    <row r="105" spans="1:10" x14ac:dyDescent="0.2">
      <c r="A105" t="str">
        <f>Data!A11</f>
        <v>VG-1010</v>
      </c>
      <c r="B105" s="5">
        <f>Data!B11</f>
        <v>46075</v>
      </c>
      <c r="C105" t="str">
        <f>Data!D11</f>
        <v>P1</v>
      </c>
      <c r="D105" t="str">
        <f>Data!E11</f>
        <v>In Progress</v>
      </c>
      <c r="E105" t="str">
        <f>Data!F11</f>
        <v>Access</v>
      </c>
      <c r="F105" t="str">
        <f>Data!G11</f>
        <v>S. Kumar</v>
      </c>
      <c r="G105">
        <f>Data!H11</f>
        <v>4</v>
      </c>
      <c r="H105">
        <f>Data!I11</f>
        <v>0</v>
      </c>
      <c r="I105" t="str">
        <f>Data!J11</f>
        <v>Pending</v>
      </c>
      <c r="J105" t="str">
        <f>Data!K11</f>
        <v>Portal</v>
      </c>
    </row>
  </sheetData>
  <mergeCells count="19">
    <mergeCell ref="A77:O77"/>
    <mergeCell ref="A60:O60"/>
    <mergeCell ref="A6:C6"/>
    <mergeCell ref="A11:O11"/>
    <mergeCell ref="A94:O94"/>
    <mergeCell ref="D6:F6"/>
    <mergeCell ref="A3:O3"/>
    <mergeCell ref="F4:O4"/>
    <mergeCell ref="A1:O2"/>
    <mergeCell ref="J7:L9"/>
    <mergeCell ref="A43:O43"/>
    <mergeCell ref="J6:L6"/>
    <mergeCell ref="G6:I6"/>
    <mergeCell ref="G7:I9"/>
    <mergeCell ref="A27:O27"/>
    <mergeCell ref="A7:C9"/>
    <mergeCell ref="M7:O9"/>
    <mergeCell ref="M6:O6"/>
    <mergeCell ref="D7:F9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workbookViewId="0">
      <pane ySplit="1" topLeftCell="A28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  <col min="4" max="4" width="12" customWidth="1"/>
    <col min="5" max="5" width="15" customWidth="1"/>
    <col min="6" max="6" width="22" customWidth="1"/>
    <col min="7" max="8" width="18" customWidth="1"/>
    <col min="9" max="9" width="23" customWidth="1"/>
    <col min="10" max="11" width="14" customWidth="1"/>
  </cols>
  <sheetData>
    <row r="1" spans="1:11" x14ac:dyDescent="0.2">
      <c r="A1" s="6" t="s">
        <v>35</v>
      </c>
      <c r="B1" s="6" t="s">
        <v>36</v>
      </c>
      <c r="C1" s="6" t="s">
        <v>43</v>
      </c>
      <c r="D1" s="6" t="s">
        <v>1</v>
      </c>
      <c r="E1" s="6" t="s">
        <v>3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</row>
    <row r="2" spans="1:11" x14ac:dyDescent="0.2">
      <c r="A2" t="s">
        <v>44</v>
      </c>
      <c r="B2" s="5">
        <v>46077</v>
      </c>
      <c r="C2" s="5">
        <v>46078</v>
      </c>
      <c r="D2" t="s">
        <v>20</v>
      </c>
      <c r="E2" t="s">
        <v>11</v>
      </c>
      <c r="F2" t="s">
        <v>45</v>
      </c>
      <c r="G2" t="s">
        <v>22</v>
      </c>
      <c r="H2">
        <v>24</v>
      </c>
      <c r="I2">
        <v>25.4</v>
      </c>
      <c r="J2" t="s">
        <v>46</v>
      </c>
      <c r="K2" t="s">
        <v>47</v>
      </c>
    </row>
    <row r="3" spans="1:11" x14ac:dyDescent="0.2">
      <c r="A3" t="s">
        <v>48</v>
      </c>
      <c r="B3" s="5">
        <v>46153</v>
      </c>
      <c r="C3" s="5">
        <v>46153</v>
      </c>
      <c r="D3" t="s">
        <v>14</v>
      </c>
      <c r="E3" t="s">
        <v>11</v>
      </c>
      <c r="F3" t="s">
        <v>49</v>
      </c>
      <c r="G3" t="s">
        <v>23</v>
      </c>
      <c r="H3">
        <v>8</v>
      </c>
      <c r="I3">
        <v>8.8000000000000007</v>
      </c>
      <c r="J3" t="s">
        <v>46</v>
      </c>
      <c r="K3" t="s">
        <v>47</v>
      </c>
    </row>
    <row r="4" spans="1:11" x14ac:dyDescent="0.2">
      <c r="A4" t="s">
        <v>50</v>
      </c>
      <c r="B4" s="5">
        <v>46226</v>
      </c>
      <c r="C4" s="5"/>
      <c r="D4" t="s">
        <v>14</v>
      </c>
      <c r="E4" t="s">
        <v>15</v>
      </c>
      <c r="F4" t="s">
        <v>51</v>
      </c>
      <c r="G4" t="s">
        <v>22</v>
      </c>
      <c r="H4">
        <v>8</v>
      </c>
      <c r="J4" t="s">
        <v>52</v>
      </c>
      <c r="K4" t="s">
        <v>53</v>
      </c>
    </row>
    <row r="5" spans="1:11" x14ac:dyDescent="0.2">
      <c r="A5" t="s">
        <v>54</v>
      </c>
      <c r="B5" s="5">
        <v>46184</v>
      </c>
      <c r="C5" s="5"/>
      <c r="D5" t="s">
        <v>14</v>
      </c>
      <c r="E5" t="s">
        <v>15</v>
      </c>
      <c r="F5" t="s">
        <v>49</v>
      </c>
      <c r="G5" t="s">
        <v>29</v>
      </c>
      <c r="H5">
        <v>8</v>
      </c>
      <c r="J5" t="s">
        <v>52</v>
      </c>
      <c r="K5" t="s">
        <v>53</v>
      </c>
    </row>
    <row r="6" spans="1:11" x14ac:dyDescent="0.2">
      <c r="A6" t="s">
        <v>55</v>
      </c>
      <c r="B6" s="5">
        <v>46105</v>
      </c>
      <c r="C6" s="5">
        <v>46105</v>
      </c>
      <c r="D6" t="s">
        <v>20</v>
      </c>
      <c r="E6" t="s">
        <v>11</v>
      </c>
      <c r="F6" t="s">
        <v>51</v>
      </c>
      <c r="G6" t="s">
        <v>12</v>
      </c>
      <c r="H6">
        <v>24</v>
      </c>
      <c r="I6">
        <v>11.3</v>
      </c>
      <c r="J6" t="s">
        <v>56</v>
      </c>
      <c r="K6" t="s">
        <v>53</v>
      </c>
    </row>
    <row r="7" spans="1:11" x14ac:dyDescent="0.2">
      <c r="A7" t="s">
        <v>57</v>
      </c>
      <c r="B7" s="5">
        <v>46195</v>
      </c>
      <c r="C7" s="5">
        <v>46195</v>
      </c>
      <c r="D7" t="s">
        <v>10</v>
      </c>
      <c r="E7" t="s">
        <v>11</v>
      </c>
      <c r="F7" t="s">
        <v>58</v>
      </c>
      <c r="G7" t="s">
        <v>23</v>
      </c>
      <c r="H7">
        <v>4</v>
      </c>
      <c r="I7">
        <v>2.1</v>
      </c>
      <c r="J7" t="s">
        <v>56</v>
      </c>
      <c r="K7" t="s">
        <v>47</v>
      </c>
    </row>
    <row r="8" spans="1:11" x14ac:dyDescent="0.2">
      <c r="A8" t="s">
        <v>59</v>
      </c>
      <c r="B8" s="5">
        <v>46247</v>
      </c>
      <c r="C8" s="5">
        <v>46248</v>
      </c>
      <c r="D8" t="s">
        <v>20</v>
      </c>
      <c r="E8" t="s">
        <v>11</v>
      </c>
      <c r="F8" t="s">
        <v>51</v>
      </c>
      <c r="G8" t="s">
        <v>29</v>
      </c>
      <c r="H8">
        <v>24</v>
      </c>
      <c r="I8">
        <v>25</v>
      </c>
      <c r="J8" t="s">
        <v>46</v>
      </c>
      <c r="K8" t="s">
        <v>47</v>
      </c>
    </row>
    <row r="9" spans="1:11" x14ac:dyDescent="0.2">
      <c r="A9" t="s">
        <v>60</v>
      </c>
      <c r="B9" s="5">
        <v>46209</v>
      </c>
      <c r="C9" s="5"/>
      <c r="D9" t="s">
        <v>10</v>
      </c>
      <c r="E9" t="s">
        <v>15</v>
      </c>
      <c r="F9" t="s">
        <v>58</v>
      </c>
      <c r="G9" t="s">
        <v>29</v>
      </c>
      <c r="H9">
        <v>4</v>
      </c>
      <c r="J9" t="s">
        <v>52</v>
      </c>
      <c r="K9" t="s">
        <v>47</v>
      </c>
    </row>
    <row r="10" spans="1:11" x14ac:dyDescent="0.2">
      <c r="A10" t="s">
        <v>61</v>
      </c>
      <c r="B10" s="5">
        <v>46122</v>
      </c>
      <c r="C10" s="5">
        <v>46122</v>
      </c>
      <c r="D10" t="s">
        <v>14</v>
      </c>
      <c r="E10" t="s">
        <v>11</v>
      </c>
      <c r="F10" t="s">
        <v>49</v>
      </c>
      <c r="G10" t="s">
        <v>29</v>
      </c>
      <c r="H10">
        <v>8</v>
      </c>
      <c r="I10">
        <v>3.6</v>
      </c>
      <c r="J10" t="s">
        <v>56</v>
      </c>
      <c r="K10" t="s">
        <v>62</v>
      </c>
    </row>
    <row r="11" spans="1:11" x14ac:dyDescent="0.2">
      <c r="A11" t="s">
        <v>63</v>
      </c>
      <c r="B11" s="5">
        <v>46075</v>
      </c>
      <c r="C11" s="5"/>
      <c r="D11" t="s">
        <v>10</v>
      </c>
      <c r="E11" t="s">
        <v>15</v>
      </c>
      <c r="F11" t="s">
        <v>51</v>
      </c>
      <c r="G11" t="s">
        <v>22</v>
      </c>
      <c r="H11">
        <v>4</v>
      </c>
      <c r="J11" t="s">
        <v>52</v>
      </c>
      <c r="K11" t="s">
        <v>62</v>
      </c>
    </row>
    <row r="12" spans="1:11" x14ac:dyDescent="0.2">
      <c r="A12" t="s">
        <v>64</v>
      </c>
      <c r="B12" s="5">
        <v>46083</v>
      </c>
      <c r="C12" s="5">
        <v>46083</v>
      </c>
      <c r="D12" t="s">
        <v>10</v>
      </c>
      <c r="E12" t="s">
        <v>11</v>
      </c>
      <c r="F12" t="s">
        <v>65</v>
      </c>
      <c r="G12" t="s">
        <v>29</v>
      </c>
      <c r="H12">
        <v>4</v>
      </c>
      <c r="I12">
        <v>3.2</v>
      </c>
      <c r="J12" t="s">
        <v>56</v>
      </c>
      <c r="K12" t="s">
        <v>53</v>
      </c>
    </row>
    <row r="13" spans="1:11" x14ac:dyDescent="0.2">
      <c r="A13" t="s">
        <v>66</v>
      </c>
      <c r="B13" s="5">
        <v>46240</v>
      </c>
      <c r="C13" s="5"/>
      <c r="D13" t="s">
        <v>14</v>
      </c>
      <c r="E13" t="s">
        <v>21</v>
      </c>
      <c r="F13" t="s">
        <v>45</v>
      </c>
      <c r="G13" t="s">
        <v>29</v>
      </c>
      <c r="H13">
        <v>8</v>
      </c>
      <c r="J13" t="s">
        <v>52</v>
      </c>
      <c r="K13" t="s">
        <v>62</v>
      </c>
    </row>
    <row r="14" spans="1:11" x14ac:dyDescent="0.2">
      <c r="A14" t="s">
        <v>67</v>
      </c>
      <c r="B14" s="5">
        <v>46256</v>
      </c>
      <c r="C14" s="5">
        <v>46256</v>
      </c>
      <c r="D14" t="s">
        <v>14</v>
      </c>
      <c r="E14" t="s">
        <v>11</v>
      </c>
      <c r="F14" t="s">
        <v>65</v>
      </c>
      <c r="G14" t="s">
        <v>12</v>
      </c>
      <c r="H14">
        <v>8</v>
      </c>
      <c r="I14">
        <v>6.2</v>
      </c>
      <c r="J14" t="s">
        <v>56</v>
      </c>
      <c r="K14" t="s">
        <v>62</v>
      </c>
    </row>
    <row r="15" spans="1:11" x14ac:dyDescent="0.2">
      <c r="A15" t="s">
        <v>68</v>
      </c>
      <c r="B15" s="5">
        <v>46265</v>
      </c>
      <c r="C15" s="5">
        <v>46265</v>
      </c>
      <c r="D15" t="s">
        <v>14</v>
      </c>
      <c r="E15" t="s">
        <v>11</v>
      </c>
      <c r="F15" t="s">
        <v>58</v>
      </c>
      <c r="G15" t="s">
        <v>12</v>
      </c>
      <c r="H15">
        <v>8</v>
      </c>
      <c r="I15">
        <v>11.2</v>
      </c>
      <c r="J15" t="s">
        <v>46</v>
      </c>
      <c r="K15" t="s">
        <v>47</v>
      </c>
    </row>
    <row r="16" spans="1:11" x14ac:dyDescent="0.2">
      <c r="A16" t="s">
        <v>69</v>
      </c>
      <c r="B16" s="5">
        <v>46096</v>
      </c>
      <c r="C16" s="5">
        <v>46096</v>
      </c>
      <c r="D16" t="s">
        <v>14</v>
      </c>
      <c r="E16" t="s">
        <v>11</v>
      </c>
      <c r="F16" t="s">
        <v>51</v>
      </c>
      <c r="G16" t="s">
        <v>23</v>
      </c>
      <c r="H16">
        <v>8</v>
      </c>
      <c r="I16">
        <v>7.7</v>
      </c>
      <c r="J16" t="s">
        <v>56</v>
      </c>
      <c r="K16" t="s">
        <v>62</v>
      </c>
    </row>
    <row r="17" spans="1:11" x14ac:dyDescent="0.2">
      <c r="A17" t="s">
        <v>70</v>
      </c>
      <c r="B17" s="5">
        <v>46033</v>
      </c>
      <c r="C17" s="5">
        <v>46033</v>
      </c>
      <c r="D17" t="s">
        <v>14</v>
      </c>
      <c r="E17" t="s">
        <v>11</v>
      </c>
      <c r="F17" t="s">
        <v>58</v>
      </c>
      <c r="G17" t="s">
        <v>22</v>
      </c>
      <c r="H17">
        <v>8</v>
      </c>
      <c r="I17">
        <v>5.3</v>
      </c>
      <c r="J17" t="s">
        <v>56</v>
      </c>
      <c r="K17" t="s">
        <v>62</v>
      </c>
    </row>
    <row r="18" spans="1:11" x14ac:dyDescent="0.2">
      <c r="A18" t="s">
        <v>71</v>
      </c>
      <c r="B18" s="5">
        <v>46177</v>
      </c>
      <c r="C18" s="5">
        <v>46178</v>
      </c>
      <c r="D18" t="s">
        <v>20</v>
      </c>
      <c r="E18" t="s">
        <v>11</v>
      </c>
      <c r="F18" t="s">
        <v>58</v>
      </c>
      <c r="G18" t="s">
        <v>22</v>
      </c>
      <c r="H18">
        <v>24</v>
      </c>
      <c r="I18">
        <v>24.5</v>
      </c>
      <c r="J18" t="s">
        <v>46</v>
      </c>
      <c r="K18" t="s">
        <v>53</v>
      </c>
    </row>
    <row r="19" spans="1:11" x14ac:dyDescent="0.2">
      <c r="A19" t="s">
        <v>72</v>
      </c>
      <c r="B19" s="5">
        <v>46221</v>
      </c>
      <c r="C19" s="5">
        <v>46221</v>
      </c>
      <c r="D19" t="s">
        <v>10</v>
      </c>
      <c r="E19" t="s">
        <v>11</v>
      </c>
      <c r="F19" t="s">
        <v>51</v>
      </c>
      <c r="G19" t="s">
        <v>29</v>
      </c>
      <c r="H19">
        <v>4</v>
      </c>
      <c r="I19">
        <v>2.7</v>
      </c>
      <c r="J19" t="s">
        <v>56</v>
      </c>
      <c r="K19" t="s">
        <v>47</v>
      </c>
    </row>
    <row r="20" spans="1:11" x14ac:dyDescent="0.2">
      <c r="A20" t="s">
        <v>73</v>
      </c>
      <c r="B20" s="5">
        <v>46167</v>
      </c>
      <c r="C20" s="5"/>
      <c r="D20" t="s">
        <v>20</v>
      </c>
      <c r="E20" t="s">
        <v>21</v>
      </c>
      <c r="F20" t="s">
        <v>49</v>
      </c>
      <c r="G20" t="s">
        <v>22</v>
      </c>
      <c r="H20">
        <v>24</v>
      </c>
      <c r="J20" t="s">
        <v>52</v>
      </c>
      <c r="K20" t="s">
        <v>53</v>
      </c>
    </row>
    <row r="21" spans="1:11" x14ac:dyDescent="0.2">
      <c r="A21" t="s">
        <v>74</v>
      </c>
      <c r="B21" s="5">
        <v>46040</v>
      </c>
      <c r="C21" s="5"/>
      <c r="D21" t="s">
        <v>10</v>
      </c>
      <c r="E21" t="s">
        <v>15</v>
      </c>
      <c r="F21" t="s">
        <v>51</v>
      </c>
      <c r="G21" t="s">
        <v>16</v>
      </c>
      <c r="H21">
        <v>4</v>
      </c>
      <c r="J21" t="s">
        <v>52</v>
      </c>
      <c r="K21" t="s">
        <v>62</v>
      </c>
    </row>
    <row r="22" spans="1:11" x14ac:dyDescent="0.2">
      <c r="A22" t="s">
        <v>75</v>
      </c>
      <c r="B22" s="5">
        <v>46279</v>
      </c>
      <c r="C22" s="5">
        <v>46279</v>
      </c>
      <c r="D22" t="s">
        <v>14</v>
      </c>
      <c r="E22" t="s">
        <v>11</v>
      </c>
      <c r="F22" t="s">
        <v>49</v>
      </c>
      <c r="G22" t="s">
        <v>22</v>
      </c>
      <c r="H22">
        <v>8</v>
      </c>
      <c r="I22">
        <v>3.5</v>
      </c>
      <c r="J22" t="s">
        <v>56</v>
      </c>
      <c r="K22" t="s">
        <v>47</v>
      </c>
    </row>
    <row r="23" spans="1:11" x14ac:dyDescent="0.2">
      <c r="A23" t="s">
        <v>76</v>
      </c>
      <c r="B23" s="5">
        <v>46211</v>
      </c>
      <c r="C23" s="5">
        <v>46211</v>
      </c>
      <c r="D23" t="s">
        <v>10</v>
      </c>
      <c r="E23" t="s">
        <v>11</v>
      </c>
      <c r="F23" t="s">
        <v>45</v>
      </c>
      <c r="G23" t="s">
        <v>29</v>
      </c>
      <c r="H23">
        <v>4</v>
      </c>
      <c r="I23">
        <v>4.2</v>
      </c>
      <c r="J23" t="s">
        <v>46</v>
      </c>
      <c r="K23" t="s">
        <v>47</v>
      </c>
    </row>
    <row r="24" spans="1:11" x14ac:dyDescent="0.2">
      <c r="A24" t="s">
        <v>77</v>
      </c>
      <c r="B24" s="5">
        <v>46124</v>
      </c>
      <c r="C24" s="5">
        <v>46124</v>
      </c>
      <c r="D24" t="s">
        <v>14</v>
      </c>
      <c r="E24" t="s">
        <v>11</v>
      </c>
      <c r="F24" t="s">
        <v>58</v>
      </c>
      <c r="G24" t="s">
        <v>29</v>
      </c>
      <c r="H24">
        <v>8</v>
      </c>
      <c r="I24">
        <v>3.9</v>
      </c>
      <c r="J24" t="s">
        <v>56</v>
      </c>
      <c r="K24" t="s">
        <v>47</v>
      </c>
    </row>
    <row r="25" spans="1:11" x14ac:dyDescent="0.2">
      <c r="A25" t="s">
        <v>78</v>
      </c>
      <c r="B25" s="5">
        <v>46183</v>
      </c>
      <c r="C25" s="5"/>
      <c r="D25" t="s">
        <v>14</v>
      </c>
      <c r="E25" t="s">
        <v>21</v>
      </c>
      <c r="F25" t="s">
        <v>65</v>
      </c>
      <c r="G25" t="s">
        <v>12</v>
      </c>
      <c r="H25">
        <v>8</v>
      </c>
      <c r="J25" t="s">
        <v>52</v>
      </c>
      <c r="K25" t="s">
        <v>53</v>
      </c>
    </row>
    <row r="26" spans="1:11" x14ac:dyDescent="0.2">
      <c r="A26" t="s">
        <v>79</v>
      </c>
      <c r="B26" s="5">
        <v>46242</v>
      </c>
      <c r="C26" s="5"/>
      <c r="D26" t="s">
        <v>14</v>
      </c>
      <c r="E26" t="s">
        <v>15</v>
      </c>
      <c r="F26" t="s">
        <v>51</v>
      </c>
      <c r="G26" t="s">
        <v>22</v>
      </c>
      <c r="H26">
        <v>8</v>
      </c>
      <c r="J26" t="s">
        <v>52</v>
      </c>
      <c r="K26" t="s">
        <v>53</v>
      </c>
    </row>
    <row r="27" spans="1:11" x14ac:dyDescent="0.2">
      <c r="A27" t="s">
        <v>80</v>
      </c>
      <c r="B27" s="5">
        <v>46089</v>
      </c>
      <c r="C27" s="5">
        <v>46089</v>
      </c>
      <c r="D27" t="s">
        <v>10</v>
      </c>
      <c r="E27" t="s">
        <v>11</v>
      </c>
      <c r="F27" t="s">
        <v>45</v>
      </c>
      <c r="G27" t="s">
        <v>22</v>
      </c>
      <c r="H27">
        <v>4</v>
      </c>
      <c r="I27">
        <v>6</v>
      </c>
      <c r="J27" t="s">
        <v>46</v>
      </c>
      <c r="K27" t="s">
        <v>62</v>
      </c>
    </row>
    <row r="28" spans="1:11" x14ac:dyDescent="0.2">
      <c r="A28" t="s">
        <v>81</v>
      </c>
      <c r="B28" s="5">
        <v>46252</v>
      </c>
      <c r="C28" s="5">
        <v>46252</v>
      </c>
      <c r="D28" t="s">
        <v>10</v>
      </c>
      <c r="E28" t="s">
        <v>11</v>
      </c>
      <c r="F28" t="s">
        <v>51</v>
      </c>
      <c r="G28" t="s">
        <v>22</v>
      </c>
      <c r="H28">
        <v>4</v>
      </c>
      <c r="I28">
        <v>3.1</v>
      </c>
      <c r="J28" t="s">
        <v>56</v>
      </c>
      <c r="K28" t="s">
        <v>47</v>
      </c>
    </row>
    <row r="29" spans="1:11" x14ac:dyDescent="0.2">
      <c r="A29" t="s">
        <v>82</v>
      </c>
      <c r="B29" s="5">
        <v>46211</v>
      </c>
      <c r="C29" s="5">
        <v>46211</v>
      </c>
      <c r="D29" t="s">
        <v>20</v>
      </c>
      <c r="E29" t="s">
        <v>11</v>
      </c>
      <c r="F29" t="s">
        <v>45</v>
      </c>
      <c r="G29" t="s">
        <v>12</v>
      </c>
      <c r="H29">
        <v>24</v>
      </c>
      <c r="I29">
        <v>5.8</v>
      </c>
      <c r="J29" t="s">
        <v>56</v>
      </c>
      <c r="K29" t="s">
        <v>53</v>
      </c>
    </row>
    <row r="30" spans="1:11" x14ac:dyDescent="0.2">
      <c r="A30" t="s">
        <v>83</v>
      </c>
      <c r="B30" s="5">
        <v>46111</v>
      </c>
      <c r="C30" s="5">
        <v>46111</v>
      </c>
      <c r="D30" t="s">
        <v>10</v>
      </c>
      <c r="E30" t="s">
        <v>11</v>
      </c>
      <c r="F30" t="s">
        <v>49</v>
      </c>
      <c r="G30" t="s">
        <v>29</v>
      </c>
      <c r="H30">
        <v>4</v>
      </c>
      <c r="I30">
        <v>5.9</v>
      </c>
      <c r="J30" t="s">
        <v>46</v>
      </c>
      <c r="K30" t="s">
        <v>47</v>
      </c>
    </row>
    <row r="31" spans="1:11" x14ac:dyDescent="0.2">
      <c r="A31" t="s">
        <v>84</v>
      </c>
      <c r="B31" s="5">
        <v>46308</v>
      </c>
      <c r="C31" s="5">
        <v>46308</v>
      </c>
      <c r="D31" t="s">
        <v>20</v>
      </c>
      <c r="E31" t="s">
        <v>11</v>
      </c>
      <c r="F31" t="s">
        <v>49</v>
      </c>
      <c r="G31" t="s">
        <v>23</v>
      </c>
      <c r="H31">
        <v>24</v>
      </c>
      <c r="I31">
        <v>16.2</v>
      </c>
      <c r="J31" t="s">
        <v>56</v>
      </c>
      <c r="K31" t="s">
        <v>62</v>
      </c>
    </row>
    <row r="32" spans="1:11" x14ac:dyDescent="0.2">
      <c r="A32" t="s">
        <v>85</v>
      </c>
      <c r="B32" s="5">
        <v>46062</v>
      </c>
      <c r="C32" s="5">
        <v>46062</v>
      </c>
      <c r="D32" t="s">
        <v>14</v>
      </c>
      <c r="E32" t="s">
        <v>11</v>
      </c>
      <c r="F32" t="s">
        <v>65</v>
      </c>
      <c r="G32" t="s">
        <v>12</v>
      </c>
      <c r="H32">
        <v>8</v>
      </c>
      <c r="I32">
        <v>9</v>
      </c>
      <c r="J32" t="s">
        <v>46</v>
      </c>
      <c r="K32" t="s">
        <v>53</v>
      </c>
    </row>
    <row r="33" spans="1:11" x14ac:dyDescent="0.2">
      <c r="A33" t="s">
        <v>86</v>
      </c>
      <c r="B33" s="5">
        <v>46241</v>
      </c>
      <c r="C33" s="5"/>
      <c r="D33" t="s">
        <v>10</v>
      </c>
      <c r="E33" t="s">
        <v>15</v>
      </c>
      <c r="F33" t="s">
        <v>45</v>
      </c>
      <c r="G33" t="s">
        <v>12</v>
      </c>
      <c r="H33">
        <v>4</v>
      </c>
      <c r="J33" t="s">
        <v>52</v>
      </c>
      <c r="K33" t="s">
        <v>53</v>
      </c>
    </row>
    <row r="34" spans="1:11" x14ac:dyDescent="0.2">
      <c r="A34" t="s">
        <v>87</v>
      </c>
      <c r="B34" s="5">
        <v>46179</v>
      </c>
      <c r="C34" s="5">
        <v>46179</v>
      </c>
      <c r="D34" t="s">
        <v>10</v>
      </c>
      <c r="E34" t="s">
        <v>11</v>
      </c>
      <c r="F34" t="s">
        <v>65</v>
      </c>
      <c r="G34" t="s">
        <v>16</v>
      </c>
      <c r="H34">
        <v>4</v>
      </c>
      <c r="I34">
        <v>3</v>
      </c>
      <c r="J34" t="s">
        <v>56</v>
      </c>
      <c r="K34" t="s">
        <v>53</v>
      </c>
    </row>
    <row r="35" spans="1:11" x14ac:dyDescent="0.2">
      <c r="A35" t="s">
        <v>88</v>
      </c>
      <c r="B35" s="5">
        <v>46253</v>
      </c>
      <c r="C35" s="5"/>
      <c r="D35" t="s">
        <v>14</v>
      </c>
      <c r="E35" t="s">
        <v>15</v>
      </c>
      <c r="F35" t="s">
        <v>58</v>
      </c>
      <c r="G35" t="s">
        <v>29</v>
      </c>
      <c r="H35">
        <v>8</v>
      </c>
      <c r="J35" t="s">
        <v>52</v>
      </c>
      <c r="K35" t="s">
        <v>53</v>
      </c>
    </row>
    <row r="36" spans="1:11" x14ac:dyDescent="0.2">
      <c r="A36" t="s">
        <v>89</v>
      </c>
      <c r="B36" s="5">
        <v>46174</v>
      </c>
      <c r="C36" s="5"/>
      <c r="D36" t="s">
        <v>10</v>
      </c>
      <c r="E36" t="s">
        <v>21</v>
      </c>
      <c r="F36" t="s">
        <v>45</v>
      </c>
      <c r="G36" t="s">
        <v>22</v>
      </c>
      <c r="H36">
        <v>4</v>
      </c>
      <c r="J36" t="s">
        <v>52</v>
      </c>
      <c r="K36" t="s">
        <v>47</v>
      </c>
    </row>
    <row r="37" spans="1:11" x14ac:dyDescent="0.2">
      <c r="A37" t="s">
        <v>90</v>
      </c>
      <c r="B37" s="5">
        <v>46283</v>
      </c>
      <c r="C37" s="5">
        <v>46283</v>
      </c>
      <c r="D37" t="s">
        <v>10</v>
      </c>
      <c r="E37" t="s">
        <v>11</v>
      </c>
      <c r="F37" t="s">
        <v>51</v>
      </c>
      <c r="G37" t="s">
        <v>22</v>
      </c>
      <c r="H37">
        <v>4</v>
      </c>
      <c r="I37">
        <v>5.3</v>
      </c>
      <c r="J37" t="s">
        <v>46</v>
      </c>
      <c r="K37" t="s">
        <v>53</v>
      </c>
    </row>
    <row r="38" spans="1:11" x14ac:dyDescent="0.2">
      <c r="A38" t="s">
        <v>91</v>
      </c>
      <c r="B38" s="5">
        <v>46086</v>
      </c>
      <c r="C38" s="5">
        <v>46086</v>
      </c>
      <c r="D38" t="s">
        <v>14</v>
      </c>
      <c r="E38" t="s">
        <v>11</v>
      </c>
      <c r="F38" t="s">
        <v>49</v>
      </c>
      <c r="G38" t="s">
        <v>12</v>
      </c>
      <c r="H38">
        <v>8</v>
      </c>
      <c r="I38">
        <v>4.5</v>
      </c>
      <c r="J38" t="s">
        <v>56</v>
      </c>
      <c r="K38" t="s">
        <v>62</v>
      </c>
    </row>
    <row r="39" spans="1:11" x14ac:dyDescent="0.2">
      <c r="A39" t="s">
        <v>92</v>
      </c>
      <c r="B39" s="5">
        <v>46093</v>
      </c>
      <c r="C39" s="5"/>
      <c r="D39" t="s">
        <v>14</v>
      </c>
      <c r="E39" t="s">
        <v>21</v>
      </c>
      <c r="F39" t="s">
        <v>49</v>
      </c>
      <c r="G39" t="s">
        <v>16</v>
      </c>
      <c r="H39">
        <v>8</v>
      </c>
      <c r="J39" t="s">
        <v>52</v>
      </c>
      <c r="K39" t="s">
        <v>47</v>
      </c>
    </row>
    <row r="40" spans="1:11" x14ac:dyDescent="0.2">
      <c r="A40" t="s">
        <v>93</v>
      </c>
      <c r="B40" s="5">
        <v>46249</v>
      </c>
      <c r="C40" s="5"/>
      <c r="D40" t="s">
        <v>10</v>
      </c>
      <c r="E40" t="s">
        <v>21</v>
      </c>
      <c r="F40" t="s">
        <v>51</v>
      </c>
      <c r="G40" t="s">
        <v>23</v>
      </c>
      <c r="H40">
        <v>4</v>
      </c>
      <c r="J40" t="s">
        <v>52</v>
      </c>
      <c r="K40" t="s">
        <v>62</v>
      </c>
    </row>
    <row r="41" spans="1:11" x14ac:dyDescent="0.2">
      <c r="A41" t="s">
        <v>94</v>
      </c>
      <c r="B41" s="5">
        <v>46219</v>
      </c>
      <c r="C41" s="5">
        <v>46220</v>
      </c>
      <c r="D41" t="s">
        <v>20</v>
      </c>
      <c r="E41" t="s">
        <v>11</v>
      </c>
      <c r="F41" t="s">
        <v>58</v>
      </c>
      <c r="G41" t="s">
        <v>16</v>
      </c>
      <c r="H41">
        <v>24</v>
      </c>
      <c r="I41">
        <v>26.5</v>
      </c>
      <c r="J41" t="s">
        <v>46</v>
      </c>
      <c r="K41" t="s">
        <v>53</v>
      </c>
    </row>
    <row r="42" spans="1:11" x14ac:dyDescent="0.2">
      <c r="A42" t="s">
        <v>95</v>
      </c>
      <c r="B42" s="5">
        <v>46215</v>
      </c>
      <c r="C42" s="5">
        <v>46215</v>
      </c>
      <c r="D42" t="s">
        <v>20</v>
      </c>
      <c r="E42" t="s">
        <v>11</v>
      </c>
      <c r="F42" t="s">
        <v>65</v>
      </c>
      <c r="G42" t="s">
        <v>12</v>
      </c>
      <c r="H42">
        <v>24</v>
      </c>
      <c r="I42">
        <v>15.5</v>
      </c>
      <c r="J42" t="s">
        <v>56</v>
      </c>
      <c r="K42" t="s">
        <v>53</v>
      </c>
    </row>
    <row r="43" spans="1:11" x14ac:dyDescent="0.2">
      <c r="A43" t="s">
        <v>96</v>
      </c>
      <c r="B43" s="5">
        <v>46143</v>
      </c>
      <c r="C43" s="5">
        <v>46143</v>
      </c>
      <c r="D43" t="s">
        <v>10</v>
      </c>
      <c r="E43" t="s">
        <v>11</v>
      </c>
      <c r="F43" t="s">
        <v>45</v>
      </c>
      <c r="G43" t="s">
        <v>12</v>
      </c>
      <c r="H43">
        <v>4</v>
      </c>
      <c r="I43">
        <v>5.6</v>
      </c>
      <c r="J43" t="s">
        <v>46</v>
      </c>
      <c r="K43" t="s">
        <v>62</v>
      </c>
    </row>
    <row r="44" spans="1:11" x14ac:dyDescent="0.2">
      <c r="A44" t="s">
        <v>97</v>
      </c>
      <c r="B44" s="5">
        <v>46308</v>
      </c>
      <c r="C44" s="5">
        <v>46308</v>
      </c>
      <c r="D44" t="s">
        <v>10</v>
      </c>
      <c r="E44" t="s">
        <v>11</v>
      </c>
      <c r="F44" t="s">
        <v>65</v>
      </c>
      <c r="G44" t="s">
        <v>22</v>
      </c>
      <c r="H44">
        <v>4</v>
      </c>
      <c r="I44">
        <v>4.5999999999999996</v>
      </c>
      <c r="J44" t="s">
        <v>46</v>
      </c>
      <c r="K44" t="s">
        <v>62</v>
      </c>
    </row>
    <row r="45" spans="1:11" x14ac:dyDescent="0.2">
      <c r="A45" t="s">
        <v>98</v>
      </c>
      <c r="B45" s="5">
        <v>46258</v>
      </c>
      <c r="C45" s="5"/>
      <c r="D45" t="s">
        <v>10</v>
      </c>
      <c r="E45" t="s">
        <v>15</v>
      </c>
      <c r="F45" t="s">
        <v>51</v>
      </c>
      <c r="G45" t="s">
        <v>12</v>
      </c>
      <c r="H45">
        <v>4</v>
      </c>
      <c r="J45" t="s">
        <v>52</v>
      </c>
      <c r="K45" t="s">
        <v>47</v>
      </c>
    </row>
    <row r="46" spans="1:11" x14ac:dyDescent="0.2">
      <c r="A46" t="s">
        <v>99</v>
      </c>
      <c r="B46" s="5">
        <v>46117</v>
      </c>
      <c r="C46" s="5">
        <v>46118</v>
      </c>
      <c r="D46" t="s">
        <v>20</v>
      </c>
      <c r="E46" t="s">
        <v>11</v>
      </c>
      <c r="F46" t="s">
        <v>58</v>
      </c>
      <c r="G46" t="s">
        <v>12</v>
      </c>
      <c r="H46">
        <v>24</v>
      </c>
      <c r="I46">
        <v>26.8</v>
      </c>
      <c r="J46" t="s">
        <v>46</v>
      </c>
      <c r="K46" t="s">
        <v>47</v>
      </c>
    </row>
    <row r="47" spans="1:11" x14ac:dyDescent="0.2">
      <c r="A47" t="s">
        <v>100</v>
      </c>
      <c r="B47" s="5">
        <v>46209</v>
      </c>
      <c r="C47" s="5">
        <v>46209</v>
      </c>
      <c r="D47" t="s">
        <v>14</v>
      </c>
      <c r="E47" t="s">
        <v>11</v>
      </c>
      <c r="F47" t="s">
        <v>49</v>
      </c>
      <c r="G47" t="s">
        <v>23</v>
      </c>
      <c r="H47">
        <v>8</v>
      </c>
      <c r="I47">
        <v>9</v>
      </c>
      <c r="J47" t="s">
        <v>46</v>
      </c>
      <c r="K47" t="s">
        <v>47</v>
      </c>
    </row>
    <row r="48" spans="1:11" x14ac:dyDescent="0.2">
      <c r="A48" t="s">
        <v>101</v>
      </c>
      <c r="B48" s="5">
        <v>46182</v>
      </c>
      <c r="C48" s="5">
        <v>46182</v>
      </c>
      <c r="D48" t="s">
        <v>10</v>
      </c>
      <c r="E48" t="s">
        <v>11</v>
      </c>
      <c r="F48" t="s">
        <v>45</v>
      </c>
      <c r="G48" t="s">
        <v>22</v>
      </c>
      <c r="H48">
        <v>4</v>
      </c>
      <c r="I48">
        <v>4.4000000000000004</v>
      </c>
      <c r="J48" t="s">
        <v>46</v>
      </c>
      <c r="K48" t="s">
        <v>62</v>
      </c>
    </row>
    <row r="49" spans="1:11" x14ac:dyDescent="0.2">
      <c r="A49" t="s">
        <v>102</v>
      </c>
      <c r="B49" s="5">
        <v>46179</v>
      </c>
      <c r="C49" s="5">
        <v>46179</v>
      </c>
      <c r="D49" t="s">
        <v>20</v>
      </c>
      <c r="E49" t="s">
        <v>11</v>
      </c>
      <c r="F49" t="s">
        <v>51</v>
      </c>
      <c r="G49" t="s">
        <v>22</v>
      </c>
      <c r="H49">
        <v>24</v>
      </c>
      <c r="I49">
        <v>3.1</v>
      </c>
      <c r="J49" t="s">
        <v>56</v>
      </c>
      <c r="K49" t="s">
        <v>62</v>
      </c>
    </row>
    <row r="50" spans="1:11" x14ac:dyDescent="0.2">
      <c r="A50" t="s">
        <v>103</v>
      </c>
      <c r="B50" s="5">
        <v>46209</v>
      </c>
      <c r="C50" s="5">
        <v>46210</v>
      </c>
      <c r="D50" t="s">
        <v>20</v>
      </c>
      <c r="E50" t="s">
        <v>11</v>
      </c>
      <c r="F50" t="s">
        <v>45</v>
      </c>
      <c r="G50" t="s">
        <v>16</v>
      </c>
      <c r="H50">
        <v>24</v>
      </c>
      <c r="I50">
        <v>26.1</v>
      </c>
      <c r="J50" t="s">
        <v>46</v>
      </c>
      <c r="K50" t="s">
        <v>53</v>
      </c>
    </row>
    <row r="51" spans="1:11" x14ac:dyDescent="0.2">
      <c r="A51" t="s">
        <v>104</v>
      </c>
      <c r="B51" s="5">
        <v>46130</v>
      </c>
      <c r="C51" s="5"/>
      <c r="D51" t="s">
        <v>20</v>
      </c>
      <c r="E51" t="s">
        <v>15</v>
      </c>
      <c r="F51" t="s">
        <v>45</v>
      </c>
      <c r="G51" t="s">
        <v>29</v>
      </c>
      <c r="H51">
        <v>24</v>
      </c>
      <c r="J51" t="s">
        <v>52</v>
      </c>
      <c r="K51" t="s">
        <v>53</v>
      </c>
    </row>
    <row r="52" spans="1:11" x14ac:dyDescent="0.2">
      <c r="A52" t="s">
        <v>105</v>
      </c>
      <c r="B52" s="5">
        <v>46181</v>
      </c>
      <c r="C52" s="5">
        <v>46181</v>
      </c>
      <c r="D52" t="s">
        <v>14</v>
      </c>
      <c r="E52" t="s">
        <v>11</v>
      </c>
      <c r="F52" t="s">
        <v>49</v>
      </c>
      <c r="G52" t="s">
        <v>16</v>
      </c>
      <c r="H52">
        <v>8</v>
      </c>
      <c r="I52">
        <v>10.7</v>
      </c>
      <c r="J52" t="s">
        <v>46</v>
      </c>
      <c r="K52" t="s">
        <v>62</v>
      </c>
    </row>
    <row r="53" spans="1:11" x14ac:dyDescent="0.2">
      <c r="A53" t="s">
        <v>106</v>
      </c>
      <c r="B53" s="5">
        <v>46149</v>
      </c>
      <c r="C53" s="5">
        <v>46149</v>
      </c>
      <c r="D53" t="s">
        <v>20</v>
      </c>
      <c r="E53" t="s">
        <v>11</v>
      </c>
      <c r="F53" t="s">
        <v>65</v>
      </c>
      <c r="G53" t="s">
        <v>23</v>
      </c>
      <c r="H53">
        <v>24</v>
      </c>
      <c r="I53">
        <v>13.5</v>
      </c>
      <c r="J53" t="s">
        <v>56</v>
      </c>
      <c r="K53" t="s">
        <v>53</v>
      </c>
    </row>
    <row r="54" spans="1:11" x14ac:dyDescent="0.2">
      <c r="A54" t="s">
        <v>107</v>
      </c>
      <c r="B54" s="5">
        <v>46030</v>
      </c>
      <c r="C54" s="5">
        <v>46030</v>
      </c>
      <c r="D54" t="s">
        <v>10</v>
      </c>
      <c r="E54" t="s">
        <v>11</v>
      </c>
      <c r="F54" t="s">
        <v>45</v>
      </c>
      <c r="G54" t="s">
        <v>22</v>
      </c>
      <c r="H54">
        <v>4</v>
      </c>
      <c r="I54">
        <v>5.8</v>
      </c>
      <c r="J54" t="s">
        <v>46</v>
      </c>
      <c r="K54" t="s">
        <v>53</v>
      </c>
    </row>
    <row r="55" spans="1:11" x14ac:dyDescent="0.2">
      <c r="A55" t="s">
        <v>108</v>
      </c>
      <c r="B55" s="5">
        <v>46125</v>
      </c>
      <c r="C55" s="5">
        <v>46125</v>
      </c>
      <c r="D55" t="s">
        <v>10</v>
      </c>
      <c r="E55" t="s">
        <v>11</v>
      </c>
      <c r="F55" t="s">
        <v>58</v>
      </c>
      <c r="G55" t="s">
        <v>22</v>
      </c>
      <c r="H55">
        <v>4</v>
      </c>
      <c r="I55">
        <v>5</v>
      </c>
      <c r="J55" t="s">
        <v>46</v>
      </c>
      <c r="K55" t="s">
        <v>47</v>
      </c>
    </row>
    <row r="56" spans="1:11" x14ac:dyDescent="0.2">
      <c r="A56" t="s">
        <v>109</v>
      </c>
      <c r="B56" s="5">
        <v>46249</v>
      </c>
      <c r="C56" s="5">
        <v>46249</v>
      </c>
      <c r="D56" t="s">
        <v>10</v>
      </c>
      <c r="E56" t="s">
        <v>11</v>
      </c>
      <c r="F56" t="s">
        <v>65</v>
      </c>
      <c r="G56" t="s">
        <v>12</v>
      </c>
      <c r="H56">
        <v>4</v>
      </c>
      <c r="I56">
        <v>1.6</v>
      </c>
      <c r="J56" t="s">
        <v>56</v>
      </c>
      <c r="K56" t="s">
        <v>47</v>
      </c>
    </row>
    <row r="57" spans="1:11" x14ac:dyDescent="0.2">
      <c r="A57" t="s">
        <v>110</v>
      </c>
      <c r="B57" s="5">
        <v>46302</v>
      </c>
      <c r="C57" s="5">
        <v>46302</v>
      </c>
      <c r="D57" t="s">
        <v>10</v>
      </c>
      <c r="E57" t="s">
        <v>11</v>
      </c>
      <c r="F57" t="s">
        <v>65</v>
      </c>
      <c r="G57" t="s">
        <v>29</v>
      </c>
      <c r="H57">
        <v>4</v>
      </c>
      <c r="I57">
        <v>3.9</v>
      </c>
      <c r="J57" t="s">
        <v>56</v>
      </c>
      <c r="K57" t="s">
        <v>47</v>
      </c>
    </row>
    <row r="58" spans="1:11" x14ac:dyDescent="0.2">
      <c r="A58" t="s">
        <v>111</v>
      </c>
      <c r="B58" s="5">
        <v>46215</v>
      </c>
      <c r="C58" s="5">
        <v>46215</v>
      </c>
      <c r="D58" t="s">
        <v>10</v>
      </c>
      <c r="E58" t="s">
        <v>11</v>
      </c>
      <c r="F58" t="s">
        <v>58</v>
      </c>
      <c r="G58" t="s">
        <v>12</v>
      </c>
      <c r="H58">
        <v>4</v>
      </c>
      <c r="I58">
        <v>1.7</v>
      </c>
      <c r="J58" t="s">
        <v>56</v>
      </c>
      <c r="K58" t="s">
        <v>53</v>
      </c>
    </row>
    <row r="59" spans="1:11" x14ac:dyDescent="0.2">
      <c r="A59" t="s">
        <v>112</v>
      </c>
      <c r="B59" s="5">
        <v>46069</v>
      </c>
      <c r="C59" s="5">
        <v>46069</v>
      </c>
      <c r="D59" t="s">
        <v>20</v>
      </c>
      <c r="E59" t="s">
        <v>11</v>
      </c>
      <c r="F59" t="s">
        <v>51</v>
      </c>
      <c r="G59" t="s">
        <v>16</v>
      </c>
      <c r="H59">
        <v>24</v>
      </c>
      <c r="I59">
        <v>9.4</v>
      </c>
      <c r="J59" t="s">
        <v>56</v>
      </c>
      <c r="K59" t="s">
        <v>62</v>
      </c>
    </row>
    <row r="60" spans="1:11" x14ac:dyDescent="0.2">
      <c r="A60" t="s">
        <v>113</v>
      </c>
      <c r="B60" s="5">
        <v>46307</v>
      </c>
      <c r="C60" s="5">
        <v>46307</v>
      </c>
      <c r="D60" t="s">
        <v>14</v>
      </c>
      <c r="E60" t="s">
        <v>11</v>
      </c>
      <c r="F60" t="s">
        <v>49</v>
      </c>
      <c r="G60" t="s">
        <v>12</v>
      </c>
      <c r="H60">
        <v>8</v>
      </c>
      <c r="I60">
        <v>7</v>
      </c>
      <c r="J60" t="s">
        <v>56</v>
      </c>
      <c r="K60" t="s">
        <v>47</v>
      </c>
    </row>
    <row r="61" spans="1:11" x14ac:dyDescent="0.2">
      <c r="A61" t="s">
        <v>114</v>
      </c>
      <c r="B61" s="5">
        <v>46196</v>
      </c>
      <c r="C61" s="5">
        <v>46196</v>
      </c>
      <c r="D61" t="s">
        <v>14</v>
      </c>
      <c r="E61" t="s">
        <v>11</v>
      </c>
      <c r="F61" t="s">
        <v>51</v>
      </c>
      <c r="G61" t="s">
        <v>22</v>
      </c>
      <c r="H61">
        <v>8</v>
      </c>
      <c r="I61">
        <v>6.7</v>
      </c>
      <c r="J61" t="s">
        <v>56</v>
      </c>
      <c r="K61" t="s">
        <v>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Thakur</cp:lastModifiedBy>
  <dcterms:created xsi:type="dcterms:W3CDTF">2026-10-22T16:07:50Z</dcterms:created>
  <dcterms:modified xsi:type="dcterms:W3CDTF">2026-10-23T08:22:39Z</dcterms:modified>
</cp:coreProperties>
</file>